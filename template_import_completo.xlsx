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Matrici\"/>
    </mc:Choice>
  </mc:AlternateContent>
  <xr:revisionPtr revIDLastSave="0" documentId="13_ncr:20001_{3B6CDACF-58FE-4E5F-A288-A00E539327D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kills" sheetId="1" r:id="rId1"/>
    <sheet name="Turni" sheetId="2" r:id="rId2"/>
    <sheet name="Operatori" sheetId="3" r:id="rId3"/>
    <sheet name="Istruzioni" sheetId="4" r:id="rId4"/>
  </sheets>
  <definedNames>
    <definedName name="_xlnm._FilterDatabase" localSheetId="2" hidden="1">Operatori!$A$1:$AS$1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3" l="1"/>
  <c r="J5" i="3"/>
  <c r="I6" i="3"/>
  <c r="J6" i="3"/>
  <c r="I7" i="3"/>
  <c r="J7" i="3"/>
  <c r="I8" i="3"/>
  <c r="J8" i="3"/>
  <c r="I9" i="3"/>
  <c r="J9" i="3"/>
  <c r="I10" i="3"/>
  <c r="J10" i="3"/>
  <c r="I11" i="3"/>
  <c r="J11" i="3"/>
  <c r="I12" i="3"/>
  <c r="J12" i="3"/>
  <c r="I13" i="3"/>
  <c r="J13" i="3"/>
  <c r="I14" i="3"/>
  <c r="J14" i="3"/>
  <c r="I15" i="3"/>
  <c r="J15" i="3"/>
  <c r="I16" i="3"/>
  <c r="J16" i="3"/>
  <c r="I17" i="3"/>
  <c r="J17" i="3"/>
  <c r="I18" i="3"/>
  <c r="J18" i="3"/>
  <c r="I19" i="3"/>
  <c r="J19" i="3"/>
  <c r="I20" i="3"/>
  <c r="J20" i="3"/>
  <c r="I21" i="3"/>
  <c r="J21" i="3"/>
  <c r="I22" i="3"/>
  <c r="J22" i="3"/>
  <c r="I23" i="3"/>
  <c r="J23" i="3"/>
  <c r="I24" i="3"/>
  <c r="J24" i="3"/>
  <c r="I25" i="3"/>
  <c r="J25" i="3"/>
  <c r="I26" i="3"/>
  <c r="J26" i="3"/>
  <c r="I27" i="3"/>
  <c r="J27" i="3"/>
  <c r="I28" i="3"/>
  <c r="J28" i="3"/>
  <c r="I29" i="3"/>
  <c r="J29" i="3"/>
  <c r="I30" i="3"/>
  <c r="J30" i="3"/>
  <c r="I31" i="3"/>
  <c r="J31" i="3"/>
  <c r="I32" i="3"/>
  <c r="J32" i="3"/>
  <c r="I33" i="3"/>
  <c r="J33" i="3"/>
  <c r="I34" i="3"/>
  <c r="J34" i="3"/>
  <c r="I35" i="3"/>
  <c r="J35" i="3"/>
  <c r="I36" i="3"/>
  <c r="J36" i="3"/>
  <c r="I37" i="3"/>
  <c r="J37" i="3"/>
  <c r="I38" i="3"/>
  <c r="J38" i="3"/>
  <c r="I39" i="3"/>
  <c r="J39" i="3"/>
  <c r="I40" i="3"/>
  <c r="J40" i="3"/>
  <c r="I41" i="3"/>
  <c r="J41" i="3"/>
  <c r="I42" i="3"/>
  <c r="J42" i="3"/>
  <c r="I43" i="3"/>
  <c r="J43" i="3"/>
  <c r="I44" i="3"/>
  <c r="J44" i="3"/>
  <c r="I45" i="3"/>
  <c r="J45" i="3"/>
  <c r="I46" i="3"/>
  <c r="J46" i="3"/>
  <c r="I47" i="3"/>
  <c r="J47" i="3"/>
  <c r="I48" i="3"/>
  <c r="J48" i="3"/>
  <c r="I49" i="3"/>
  <c r="J49" i="3"/>
  <c r="I50" i="3"/>
  <c r="J50" i="3"/>
  <c r="I51" i="3"/>
  <c r="J51" i="3"/>
  <c r="I52" i="3"/>
  <c r="J52" i="3"/>
  <c r="I53" i="3"/>
  <c r="J53" i="3"/>
  <c r="I54" i="3"/>
  <c r="J54" i="3"/>
  <c r="I55" i="3"/>
  <c r="J55" i="3"/>
  <c r="I56" i="3"/>
  <c r="J56" i="3"/>
  <c r="I57" i="3"/>
  <c r="J57" i="3"/>
  <c r="I58" i="3"/>
  <c r="J58" i="3"/>
  <c r="I59" i="3"/>
  <c r="J59" i="3"/>
  <c r="I60" i="3"/>
  <c r="J60" i="3"/>
  <c r="I61" i="3"/>
  <c r="J61" i="3"/>
  <c r="I62" i="3"/>
  <c r="J62" i="3"/>
  <c r="I63" i="3"/>
  <c r="J63" i="3"/>
  <c r="I64" i="3"/>
  <c r="J64" i="3"/>
  <c r="I65" i="3"/>
  <c r="J65" i="3"/>
  <c r="I66" i="3"/>
  <c r="J66" i="3"/>
  <c r="I67" i="3"/>
  <c r="J67" i="3"/>
  <c r="I68" i="3"/>
  <c r="J68" i="3"/>
  <c r="I69" i="3"/>
  <c r="J69" i="3"/>
  <c r="I70" i="3"/>
  <c r="J70" i="3"/>
  <c r="I71" i="3"/>
  <c r="J71" i="3"/>
  <c r="I72" i="3"/>
  <c r="J72" i="3"/>
  <c r="I73" i="3"/>
  <c r="J73" i="3"/>
  <c r="I74" i="3"/>
  <c r="J74" i="3"/>
  <c r="I75" i="3"/>
  <c r="J75" i="3"/>
  <c r="I76" i="3"/>
  <c r="J76" i="3"/>
  <c r="I77" i="3"/>
  <c r="J77" i="3"/>
  <c r="I78" i="3"/>
  <c r="J78" i="3"/>
  <c r="I79" i="3"/>
  <c r="J79" i="3"/>
  <c r="I80" i="3"/>
  <c r="J80" i="3"/>
  <c r="I81" i="3"/>
  <c r="J81" i="3"/>
  <c r="I82" i="3"/>
  <c r="J82" i="3"/>
  <c r="I83" i="3"/>
  <c r="J83" i="3"/>
  <c r="I84" i="3"/>
  <c r="J84" i="3"/>
  <c r="I85" i="3"/>
  <c r="J85" i="3"/>
  <c r="I86" i="3"/>
  <c r="J86" i="3"/>
  <c r="I87" i="3"/>
  <c r="J87" i="3"/>
  <c r="I88" i="3"/>
  <c r="J88" i="3"/>
  <c r="I89" i="3"/>
  <c r="J89" i="3"/>
  <c r="I90" i="3"/>
  <c r="J90" i="3"/>
  <c r="I91" i="3"/>
  <c r="J91" i="3"/>
  <c r="I92" i="3"/>
  <c r="J92" i="3"/>
  <c r="I93" i="3"/>
  <c r="J93" i="3"/>
  <c r="I94" i="3"/>
  <c r="J94" i="3"/>
  <c r="I95" i="3"/>
  <c r="J95" i="3"/>
  <c r="I96" i="3"/>
  <c r="J96" i="3"/>
  <c r="I97" i="3"/>
  <c r="J97" i="3"/>
  <c r="I98" i="3"/>
  <c r="J98" i="3"/>
  <c r="I99" i="3"/>
  <c r="J99" i="3"/>
  <c r="I100" i="3"/>
  <c r="J100" i="3"/>
  <c r="I101" i="3"/>
  <c r="J101" i="3"/>
  <c r="I102" i="3"/>
  <c r="J102" i="3"/>
  <c r="I103" i="3"/>
  <c r="J103" i="3"/>
  <c r="I104" i="3"/>
  <c r="J104" i="3"/>
  <c r="I105" i="3"/>
  <c r="J105" i="3"/>
  <c r="I106" i="3"/>
  <c r="J106" i="3"/>
  <c r="I107" i="3"/>
  <c r="J107" i="3"/>
  <c r="I108" i="3"/>
  <c r="J108" i="3"/>
  <c r="I109" i="3"/>
  <c r="J109" i="3"/>
  <c r="I110" i="3"/>
  <c r="J110" i="3"/>
  <c r="I111" i="3"/>
  <c r="J111" i="3"/>
  <c r="I112" i="3"/>
  <c r="J112" i="3"/>
  <c r="I113" i="3"/>
  <c r="J113" i="3"/>
  <c r="I114" i="3"/>
  <c r="J114" i="3"/>
  <c r="I115" i="3"/>
  <c r="J115" i="3"/>
  <c r="I116" i="3"/>
  <c r="J116" i="3"/>
  <c r="I117" i="3"/>
  <c r="J117" i="3"/>
  <c r="I118" i="3"/>
  <c r="J118" i="3"/>
  <c r="I119" i="3"/>
  <c r="J119" i="3"/>
  <c r="I120" i="3"/>
  <c r="J120" i="3"/>
  <c r="I121" i="3"/>
  <c r="J121" i="3"/>
  <c r="I122" i="3"/>
  <c r="J122" i="3"/>
  <c r="I123" i="3"/>
  <c r="J123" i="3"/>
  <c r="I124" i="3"/>
  <c r="J124" i="3"/>
  <c r="I125" i="3"/>
  <c r="J125" i="3"/>
  <c r="I126" i="3"/>
  <c r="J126" i="3"/>
  <c r="I127" i="3"/>
  <c r="J127" i="3"/>
  <c r="I128" i="3"/>
  <c r="J128" i="3"/>
  <c r="I129" i="3"/>
  <c r="J129" i="3"/>
  <c r="I130" i="3"/>
  <c r="J130" i="3"/>
  <c r="I131" i="3"/>
  <c r="J131" i="3"/>
  <c r="I132" i="3"/>
  <c r="J132" i="3"/>
  <c r="I133" i="3"/>
  <c r="J133" i="3"/>
  <c r="I134" i="3"/>
  <c r="J134" i="3"/>
  <c r="I135" i="3"/>
  <c r="J135" i="3"/>
  <c r="I136" i="3"/>
  <c r="J136" i="3"/>
  <c r="I137" i="3"/>
  <c r="J137" i="3"/>
  <c r="I138" i="3"/>
  <c r="J138" i="3"/>
  <c r="I139" i="3"/>
  <c r="J139" i="3"/>
  <c r="I140" i="3"/>
  <c r="J140" i="3"/>
  <c r="I141" i="3"/>
  <c r="J141" i="3"/>
  <c r="I3" i="3"/>
  <c r="J3" i="3"/>
  <c r="I4" i="3"/>
  <c r="J4" i="3"/>
  <c r="J2" i="3"/>
  <c r="I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55" i="3" s="1"/>
  <c r="D75" i="3" s="1"/>
  <c r="D95" i="3" s="1"/>
  <c r="D115" i="3" s="1"/>
  <c r="D135" i="3" s="1"/>
  <c r="D36" i="3"/>
  <c r="D56" i="3" s="1"/>
  <c r="D76" i="3" s="1"/>
  <c r="D96" i="3" s="1"/>
  <c r="D116" i="3" s="1"/>
  <c r="D136" i="3" s="1"/>
  <c r="D37" i="3"/>
  <c r="D57" i="3" s="1"/>
  <c r="D77" i="3" s="1"/>
  <c r="D97" i="3" s="1"/>
  <c r="D117" i="3" s="1"/>
  <c r="D137" i="3" s="1"/>
  <c r="D38" i="3"/>
  <c r="D58" i="3" s="1"/>
  <c r="D78" i="3" s="1"/>
  <c r="D98" i="3" s="1"/>
  <c r="D118" i="3" s="1"/>
  <c r="D138" i="3" s="1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71" i="3" s="1"/>
  <c r="D91" i="3" s="1"/>
  <c r="D111" i="3" s="1"/>
  <c r="D131" i="3" s="1"/>
  <c r="D52" i="3"/>
  <c r="D72" i="3" s="1"/>
  <c r="D92" i="3" s="1"/>
  <c r="D112" i="3" s="1"/>
  <c r="D132" i="3" s="1"/>
  <c r="D53" i="3"/>
  <c r="D73" i="3" s="1"/>
  <c r="D93" i="3" s="1"/>
  <c r="D113" i="3" s="1"/>
  <c r="D133" i="3" s="1"/>
  <c r="D54" i="3"/>
  <c r="D74" i="3" s="1"/>
  <c r="D94" i="3" s="1"/>
  <c r="D114" i="3" s="1"/>
  <c r="D134" i="3" s="1"/>
  <c r="D59" i="3"/>
  <c r="D60" i="3"/>
  <c r="D61" i="3"/>
  <c r="D62" i="3"/>
  <c r="D63" i="3"/>
  <c r="D64" i="3"/>
  <c r="D65" i="3"/>
  <c r="D66" i="3"/>
  <c r="D67" i="3"/>
  <c r="D87" i="3" s="1"/>
  <c r="D107" i="3" s="1"/>
  <c r="D127" i="3" s="1"/>
  <c r="D68" i="3"/>
  <c r="D88" i="3" s="1"/>
  <c r="D108" i="3" s="1"/>
  <c r="D128" i="3" s="1"/>
  <c r="D69" i="3"/>
  <c r="D89" i="3" s="1"/>
  <c r="D109" i="3" s="1"/>
  <c r="D129" i="3" s="1"/>
  <c r="D70" i="3"/>
  <c r="D90" i="3" s="1"/>
  <c r="D110" i="3" s="1"/>
  <c r="D130" i="3" s="1"/>
  <c r="D79" i="3"/>
  <c r="D80" i="3"/>
  <c r="D81" i="3"/>
  <c r="D82" i="3"/>
  <c r="D83" i="3"/>
  <c r="D103" i="3" s="1"/>
  <c r="D123" i="3" s="1"/>
  <c r="D84" i="3"/>
  <c r="D104" i="3" s="1"/>
  <c r="D124" i="3" s="1"/>
  <c r="D85" i="3"/>
  <c r="D105" i="3" s="1"/>
  <c r="D125" i="3" s="1"/>
  <c r="D86" i="3"/>
  <c r="D106" i="3" s="1"/>
  <c r="D126" i="3" s="1"/>
  <c r="D99" i="3"/>
  <c r="D119" i="3" s="1"/>
  <c r="D139" i="3" s="1"/>
  <c r="D100" i="3"/>
  <c r="D120" i="3" s="1"/>
  <c r="D140" i="3" s="1"/>
  <c r="D101" i="3"/>
  <c r="D121" i="3" s="1"/>
  <c r="D141" i="3" s="1"/>
  <c r="D102" i="3"/>
  <c r="D122" i="3" s="1"/>
  <c r="D22" i="3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3" i="2"/>
</calcChain>
</file>

<file path=xl/sharedStrings.xml><?xml version="1.0" encoding="utf-8"?>
<sst xmlns="http://schemas.openxmlformats.org/spreadsheetml/2006/main" count="1448" uniqueCount="382">
  <si>
    <t>Codice_Skill</t>
  </si>
  <si>
    <t>Descrizione</t>
  </si>
  <si>
    <t>Produttivita_Default</t>
  </si>
  <si>
    <t>Assistenza clienti telefonica e chat</t>
  </si>
  <si>
    <t>Gestione back office e pratiche amministrative</t>
  </si>
  <si>
    <t>Supporto tecnico avanzato</t>
  </si>
  <si>
    <t>Vendita e consulenza commerciale</t>
  </si>
  <si>
    <t>Amministrazione e contabilità</t>
  </si>
  <si>
    <t>ID_Turno</t>
  </si>
  <si>
    <t>Ora_Inizio</t>
  </si>
  <si>
    <t>Ora_Fine</t>
  </si>
  <si>
    <t>Ore_Turno</t>
  </si>
  <si>
    <t>Ora_Inizio_Spezzato</t>
  </si>
  <si>
    <t>Ora_Fine_Spezzato</t>
  </si>
  <si>
    <t>Note</t>
  </si>
  <si>
    <t>T1</t>
  </si>
  <si>
    <t>09:00</t>
  </si>
  <si>
    <t>18:00</t>
  </si>
  <si>
    <t>Turno standard ufficio</t>
  </si>
  <si>
    <t>T2</t>
  </si>
  <si>
    <t>14:00</t>
  </si>
  <si>
    <t>Turno pomeridiano</t>
  </si>
  <si>
    <t>T3</t>
  </si>
  <si>
    <t>13:00</t>
  </si>
  <si>
    <t>17:00</t>
  </si>
  <si>
    <t>21:00</t>
  </si>
  <si>
    <t>Pausa pranzo 13:00-17:00</t>
  </si>
  <si>
    <t>T4</t>
  </si>
  <si>
    <t>Attraversa mezzanotte</t>
  </si>
  <si>
    <t>T5</t>
  </si>
  <si>
    <t>16:00</t>
  </si>
  <si>
    <t>Turno ridotto weekend</t>
  </si>
  <si>
    <t>Nome</t>
  </si>
  <si>
    <t>Cognome</t>
  </si>
  <si>
    <t>ID_SAP</t>
  </si>
  <si>
    <t>Data_Riferimento</t>
  </si>
  <si>
    <t>Tipo_Contratto</t>
  </si>
  <si>
    <t>FTE</t>
  </si>
  <si>
    <t>Ore_Settimana</t>
  </si>
  <si>
    <t>Ora_Inizio_Turno</t>
  </si>
  <si>
    <t>Ora_Fine_Turno</t>
  </si>
  <si>
    <t>Ora_Inizio_Turno_Spezzato</t>
  </si>
  <si>
    <t>Ora_Fine_Turno_Spezzato</t>
  </si>
  <si>
    <t>Inizio_Strao_1</t>
  </si>
  <si>
    <t>Fine_Strao_1</t>
  </si>
  <si>
    <t>Inizio_Strao_2</t>
  </si>
  <si>
    <t>Fine_Strao_2</t>
  </si>
  <si>
    <t>Inizio_Strao_3</t>
  </si>
  <si>
    <t>Fine_Strao_3</t>
  </si>
  <si>
    <t>Inizio_Pausa_1</t>
  </si>
  <si>
    <t>Fine_Pausa_1</t>
  </si>
  <si>
    <t>Inizio_Pausa_2</t>
  </si>
  <si>
    <t>Fine_Pausa_2</t>
  </si>
  <si>
    <t>Inizio_Pausa_3</t>
  </si>
  <si>
    <t>Fine_Pausa_3</t>
  </si>
  <si>
    <t>Inizio_Pausa_4</t>
  </si>
  <si>
    <t>Fine_Pausa_4</t>
  </si>
  <si>
    <t>Inizio_Pausa_5</t>
  </si>
  <si>
    <t>Fine_Pausa_5</t>
  </si>
  <si>
    <t>Tipo_Giust_1</t>
  </si>
  <si>
    <t>Inizio_Giust_1</t>
  </si>
  <si>
    <t>Fine_Giust_1</t>
  </si>
  <si>
    <t>Tipo_Giust_2</t>
  </si>
  <si>
    <t>Inizio_Giust_2</t>
  </si>
  <si>
    <t>Fine_Giust_2</t>
  </si>
  <si>
    <t>Tipo_Giust_3</t>
  </si>
  <si>
    <t>Inizio_Giust_3</t>
  </si>
  <si>
    <t>Fine_Giust_3</t>
  </si>
  <si>
    <t>Tipo_Giust_4</t>
  </si>
  <si>
    <t>Inizio_Giust_4</t>
  </si>
  <si>
    <t>Fine_Giust_4</t>
  </si>
  <si>
    <t>Tipo_Giust_5</t>
  </si>
  <si>
    <t>Inizio_Giust_5</t>
  </si>
  <si>
    <t>Fine_Giust_5</t>
  </si>
  <si>
    <t>Etichetta_Skill</t>
  </si>
  <si>
    <t>Postazione</t>
  </si>
  <si>
    <t>20:00</t>
  </si>
  <si>
    <t>10:45</t>
  </si>
  <si>
    <t>11:00</t>
  </si>
  <si>
    <t>Part Time</t>
  </si>
  <si>
    <t>16:30</t>
  </si>
  <si>
    <t>16:45</t>
  </si>
  <si>
    <t>Questo file contiene TUTTO il necessario per configurare Matrici:</t>
  </si>
  <si>
    <t>📋 Sheet 1: SKILLS</t>
  </si>
  <si>
    <t xml:space="preserve">   Elenco delle competenze/skill disponibili</t>
  </si>
  <si>
    <t xml:space="preserve">   Es: CUSTOMER_CARE, BACK_OFFICE, TECHNICAL_SUPPORT</t>
  </si>
  <si>
    <t>🕐 Sheet 2: TURNI</t>
  </si>
  <si>
    <t xml:space="preserve">   Elenco dei turni standard (orari fissi)</t>
  </si>
  <si>
    <t xml:space="preserve">   Es: T1 (09:00-18:00), T2 (14:00-22:00)</t>
  </si>
  <si>
    <t>👥 Sheet 3: OPERATORI</t>
  </si>
  <si>
    <t xml:space="preserve">   Dati completi degli operatori</t>
  </si>
  <si>
    <t xml:space="preserve">   Include: anagrafica, turni, straordinari, pause, giustificativi, skill</t>
  </si>
  <si>
    <t>IMPORTANTE: Lo script importa automaticamente nell'ordine corretto:</t>
  </si>
  <si>
    <t>1️⃣ SKILLS (prima)</t>
  </si>
  <si>
    <t xml:space="preserve">   Devono esistere prima di assegnarle agli operatori</t>
  </si>
  <si>
    <t>2️⃣ TURNI (secondo)</t>
  </si>
  <si>
    <t xml:space="preserve">   Devono esistere prima di assegnarli agli operatori</t>
  </si>
  <si>
    <t>3️⃣ OPERATORI (ultimo)</t>
  </si>
  <si>
    <t xml:space="preserve">   Possono usare Skills e Turni già importati</t>
  </si>
  <si>
    <t>📋 SHEET SKILLS:</t>
  </si>
  <si>
    <t>• Codice_Skill: Codice univoco (es: CUSTOMER_CARE)</t>
  </si>
  <si>
    <t>• Descrizione: Descrizione della skill (opzionale)</t>
  </si>
  <si>
    <t>• Produttivita_Default: Valore 0-1 (1.0 = 100%, opzionale)</t>
  </si>
  <si>
    <t>Esempi forniti:</t>
  </si>
  <si>
    <t>- CUSTOMER_CARE: Assistenza clienti</t>
  </si>
  <si>
    <t>- BACK_OFFICE: Gestione pratiche</t>
  </si>
  <si>
    <t>- TECHNICAL_SUPPORT: Supporto tecnico</t>
  </si>
  <si>
    <t>🕐 SHEET TURNI:</t>
  </si>
  <si>
    <t>• ID_Turno: Codice univoco (es: T1, T2)</t>
  </si>
  <si>
    <t>• Descrizione: Nome turno (opzionale)</t>
  </si>
  <si>
    <t>• Ora_Inizio, Ora_Fine: Formato HH:MM</t>
  </si>
  <si>
    <t>• Ore_Turno: Totale ore (opzionale, calcolato auto)</t>
  </si>
  <si>
    <t>• Turno spezzato: Opzionale (es: 09:00-13:00 + 17:00-21:00)</t>
  </si>
  <si>
    <t>- T1: Turno mattina 09:00-18:00</t>
  </si>
  <si>
    <t>- T2: Turno pomeriggio 14:00-22:00</t>
  </si>
  <si>
    <t>- T3: Turno spezzato con pausa lunga</t>
  </si>
  <si>
    <t>👥 SHEET OPERATORI:</t>
  </si>
  <si>
    <t>• Campi OBBLIGATORI (4):</t>
  </si>
  <si>
    <t xml:space="preserve">  - Nome, Cognome, ID_SAP, Data_Riferimento</t>
  </si>
  <si>
    <t>• Campi OPZIONALI:</t>
  </si>
  <si>
    <t xml:space="preserve">  - Tipo_Contratto, FTE, Ore_Settimana</t>
  </si>
  <si>
    <t xml:space="preserve">  - ID_Turno (deve esistere in sheet Turni!)</t>
  </si>
  <si>
    <t xml:space="preserve">  - Orari turno (se non usi ID_Turno)</t>
  </si>
  <si>
    <t xml:space="preserve">  - Straordinari (3 slot)</t>
  </si>
  <si>
    <t xml:space="preserve">  - Pause (5 slot)</t>
  </si>
  <si>
    <t xml:space="preserve">  - Giustificativi (5 slot)</t>
  </si>
  <si>
    <t xml:space="preserve">  - Etichetta_Skill (deve esistere in sheet Skills!)</t>
  </si>
  <si>
    <t xml:space="preserve">  - Postazione (Sede, Smart Working, ecc.)</t>
  </si>
  <si>
    <t>PASSO 1: Compila i 3 sheet</t>
  </si>
  <si>
    <t xml:space="preserve">  - Skills: Aggiungi le tue competenze</t>
  </si>
  <si>
    <t xml:space="preserve">  - Turni: Aggiungi i tuoi orari standard</t>
  </si>
  <si>
    <t xml:space="preserve">  - Operatori: Aggiungi i tuoi operatori</t>
  </si>
  <si>
    <t>PASSO 2: Salva il file Excel</t>
  </si>
  <si>
    <t>PASSO 3: Esegui lo script di import</t>
  </si>
  <si>
    <t xml:space="preserve">  cd C:\Matrici</t>
  </si>
  <si>
    <t xml:space="preserve">  python scripts/import_completo.py template_import_completo.xlsx</t>
  </si>
  <si>
    <t>PASSO 4: Controlla il report</t>
  </si>
  <si>
    <t xml:space="preserve">  Lo script mostra:</t>
  </si>
  <si>
    <t xml:space="preserve">  ✓ Quante skills importate</t>
  </si>
  <si>
    <t xml:space="preserve">  ✓ Quanti turni importati</t>
  </si>
  <si>
    <t xml:space="preserve">  ✓ Quanti operatori importati</t>
  </si>
  <si>
    <t xml:space="preserve">  ✗ Eventuali errori</t>
  </si>
  <si>
    <t>✅ Un solo file da gestire</t>
  </si>
  <si>
    <t>✅ Import automatico in ordine corretto</t>
  </si>
  <si>
    <t>✅ Validazione automatica (Skills e Turni esistono)</t>
  </si>
  <si>
    <t>✅ Report completo di tutto l'import</t>
  </si>
  <si>
    <t>✅ Esempi precompilati per ogni sheet</t>
  </si>
  <si>
    <t>IMPORTANTE: Gli operatori fanno riferimento a Skills e Turni:</t>
  </si>
  <si>
    <t>Esempio Operatore:</t>
  </si>
  <si>
    <t xml:space="preserve">  Nome: Mario</t>
  </si>
  <si>
    <t xml:space="preserve">  ID_Turno: T1  ← deve esistere in sheet Turni</t>
  </si>
  <si>
    <t xml:space="preserve">  Etichetta_Skill: CUSTOMER_CARE  ← deve esistere in sheet Skills</t>
  </si>
  <si>
    <t>Lo script controlla automaticamente questi riferimenti!</t>
  </si>
  <si>
    <t>✓ Skills: Se codice già esiste → SKIP (non duplica)</t>
  </si>
  <si>
    <t>✓ Turni: Se ID già esiste → SKIP (non duplica)</t>
  </si>
  <si>
    <t>✓ Operatori: Se ID_SAP+Data esistono → AGGIORNA dati</t>
  </si>
  <si>
    <t>Puoi reimportare lo stesso file più volte senza problemi!</t>
  </si>
  <si>
    <t>Q: "Skill non trovata"</t>
  </si>
  <si>
    <t>A: Assicurati che la skill sia nello sheet Skills prima</t>
  </si>
  <si>
    <t>Q: "Turno non trovato"</t>
  </si>
  <si>
    <t>A: Assicurati che l'ID_Turno sia nello sheet Turni</t>
  </si>
  <si>
    <t>Q: "Formato data errato"</t>
  </si>
  <si>
    <t>A: Usa formato YYYY-MM-DD (es: 2025-11-08)</t>
  </si>
  <si>
    <t>Q: "Formato orario errato"</t>
  </si>
  <si>
    <t>A: Usa formato HH:MM (es: 09:00)</t>
  </si>
  <si>
    <t>Sheet Skills:</t>
  </si>
  <si>
    <t xml:space="preserve">  CUSTOMER_CARE | Assistenza clienti | 1.0</t>
  </si>
  <si>
    <t>Sheet Turni:</t>
  </si>
  <si>
    <t xml:space="preserve">  T1 | Turno Mattina | 09:00 | 18:00 | 9.0</t>
  </si>
  <si>
    <t>Sheet Operatori:</t>
  </si>
  <si>
    <t xml:space="preserve">  Mario | Rossi | SAP001 | 2025-11-08</t>
  </si>
  <si>
    <t xml:space="preserve">  Turno: T1</t>
  </si>
  <si>
    <t xml:space="preserve">  Skill: CUSTOMER_CARE</t>
  </si>
  <si>
    <t>Import:</t>
  </si>
  <si>
    <t xml:space="preserve">  1. Importa skill CUSTOMER_CARE</t>
  </si>
  <si>
    <t xml:space="preserve">  2. Importa turno T1</t>
  </si>
  <si>
    <t xml:space="preserve">  3. Importa operatore Mario con turno T1 e skill CUSTOMER_CARE</t>
  </si>
  <si>
    <t>✅ Tutto corretto!</t>
  </si>
  <si>
    <t>FL_PS_PA</t>
  </si>
  <si>
    <t>BO_PS_PA</t>
  </si>
  <si>
    <t>08:30</t>
  </si>
  <si>
    <t>12:30</t>
  </si>
  <si>
    <t>14:30</t>
  </si>
  <si>
    <t>08:45</t>
  </si>
  <si>
    <t>12:45</t>
  </si>
  <si>
    <t>14:45</t>
  </si>
  <si>
    <t>15:00</t>
  </si>
  <si>
    <t>09:15</t>
  </si>
  <si>
    <t>13:15</t>
  </si>
  <si>
    <t>15:15</t>
  </si>
  <si>
    <t>09:30</t>
  </si>
  <si>
    <t>13:30</t>
  </si>
  <si>
    <t>15:30</t>
  </si>
  <si>
    <t>17:30</t>
  </si>
  <si>
    <t>09:45</t>
  </si>
  <si>
    <t>13:45</t>
  </si>
  <si>
    <t>15:45</t>
  </si>
  <si>
    <t>10:00</t>
  </si>
  <si>
    <t>10:15</t>
  </si>
  <si>
    <t>14:15</t>
  </si>
  <si>
    <t>16:15</t>
  </si>
  <si>
    <t>10:30</t>
  </si>
  <si>
    <t>18:30</t>
  </si>
  <si>
    <t>19:00</t>
  </si>
  <si>
    <t>11:15</t>
  </si>
  <si>
    <t>17:15</t>
  </si>
  <si>
    <t>11:30</t>
  </si>
  <si>
    <t>19:30</t>
  </si>
  <si>
    <t>11:45</t>
  </si>
  <si>
    <t>17:45</t>
  </si>
  <si>
    <t>12:00</t>
  </si>
  <si>
    <t>12:15</t>
  </si>
  <si>
    <t>18:15</t>
  </si>
  <si>
    <t>20:30</t>
  </si>
  <si>
    <t>18:45</t>
  </si>
  <si>
    <t>19:45</t>
  </si>
  <si>
    <t>14:40</t>
  </si>
  <si>
    <t>20:40</t>
  </si>
  <si>
    <t>19:15</t>
  </si>
  <si>
    <t>20:15</t>
  </si>
  <si>
    <t>20:45</t>
  </si>
  <si>
    <t>14:20</t>
  </si>
  <si>
    <t>20:20</t>
  </si>
  <si>
    <t>13:20</t>
  </si>
  <si>
    <t>19:20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</si>
  <si>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</si>
  <si>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</si>
  <si>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</si>
  <si>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</si>
  <si>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</si>
  <si>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</si>
  <si>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</si>
  <si>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</si>
  <si>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</si>
  <si>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</si>
  <si>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</si>
  <si>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</si>
  <si>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</si>
  <si>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</si>
  <si>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</si>
  <si>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</si>
  <si>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</si>
  <si>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</si>
  <si>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</si>
  <si>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</si>
  <si>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</si>
  <si>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</si>
  <si>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</si>
  <si>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</si>
  <si>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</si>
  <si>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</si>
  <si>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</si>
  <si>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</si>
  <si>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</si>
  <si>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</si>
  <si>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</si>
  <si>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</si>
  <si>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</si>
  <si>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</si>
  <si>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</si>
  <si>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</si>
  <si>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</si>
  <si>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</si>
  <si>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</si>
  <si>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</si>
  <si>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</si>
  <si>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</si>
  <si>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</si>
  <si>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</si>
  <si>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</si>
  <si>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</si>
  <si>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</si>
  <si>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</si>
  <si>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</si>
  <si>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</si>
  <si>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</si>
  <si>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</si>
  <si>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</si>
  <si>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</si>
  <si>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</si>
  <si>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</si>
  <si>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</si>
  <si>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</si>
  <si>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</si>
  <si>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</si>
  <si>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</si>
  <si>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</si>
  <si>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</si>
  <si>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</si>
  <si>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</si>
  <si>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</si>
  <si>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</si>
  <si>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</si>
  <si>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</si>
  <si>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</si>
  <si>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</si>
  <si>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</si>
  <si>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</si>
  <si>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</si>
  <si>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</si>
  <si>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</si>
  <si>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</si>
  <si>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</si>
  <si>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</si>
  <si>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</si>
  <si>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</si>
  <si>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</si>
  <si>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</si>
  <si>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</si>
  <si>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</si>
  <si>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</si>
  <si>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</si>
  <si>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</si>
  <si>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</si>
  <si>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</si>
  <si>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</si>
  <si>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T97</t>
  </si>
  <si>
    <t>T98</t>
  </si>
  <si>
    <t>T99</t>
  </si>
  <si>
    <t>T100</t>
  </si>
  <si>
    <t>Albanese</t>
  </si>
  <si>
    <t>Borsellino</t>
  </si>
  <si>
    <t>Burgio</t>
  </si>
  <si>
    <t>Cannella</t>
  </si>
  <si>
    <t>Cipolla</t>
  </si>
  <si>
    <t>Consentino</t>
  </si>
  <si>
    <t>D'acquisto</t>
  </si>
  <si>
    <t>Federico</t>
  </si>
  <si>
    <t>Ferranti</t>
  </si>
  <si>
    <t>Greco</t>
  </si>
  <si>
    <t>Gullo</t>
  </si>
  <si>
    <t>Imparato</t>
  </si>
  <si>
    <t>Inserra</t>
  </si>
  <si>
    <t>Librino</t>
  </si>
  <si>
    <t>Lo</t>
  </si>
  <si>
    <t>Mancuso</t>
  </si>
  <si>
    <t>Petta</t>
  </si>
  <si>
    <t>Renna</t>
  </si>
  <si>
    <t>Sole</t>
  </si>
  <si>
    <t>Carmelino</t>
  </si>
  <si>
    <t>Antonino</t>
  </si>
  <si>
    <t>Rosa</t>
  </si>
  <si>
    <t>Davide</t>
  </si>
  <si>
    <t>Giuseppe</t>
  </si>
  <si>
    <t>Dario</t>
  </si>
  <si>
    <t>Armida</t>
  </si>
  <si>
    <t>Filippo</t>
  </si>
  <si>
    <t>Margherita</t>
  </si>
  <si>
    <t>Loredana</t>
  </si>
  <si>
    <t>Patrizia</t>
  </si>
  <si>
    <t>Emanuele</t>
  </si>
  <si>
    <t>Maria Rita</t>
  </si>
  <si>
    <t>Rosa Maria</t>
  </si>
  <si>
    <t>Casto Anna</t>
  </si>
  <si>
    <t>Vito</t>
  </si>
  <si>
    <t>Vanessa</t>
  </si>
  <si>
    <t>Barbara</t>
  </si>
  <si>
    <t>Valentina</t>
  </si>
  <si>
    <t>cf13</t>
  </si>
  <si>
    <t>cf14</t>
  </si>
  <si>
    <t>cf21</t>
  </si>
  <si>
    <t>cf23</t>
  </si>
  <si>
    <t>cf26</t>
  </si>
  <si>
    <t>cf30</t>
  </si>
  <si>
    <t>cf34</t>
  </si>
  <si>
    <t>cf36</t>
  </si>
  <si>
    <t>cf38</t>
  </si>
  <si>
    <t>cf2</t>
  </si>
  <si>
    <t>cf40</t>
  </si>
  <si>
    <t>cf42</t>
  </si>
  <si>
    <t>cf44</t>
  </si>
  <si>
    <t>cf3</t>
  </si>
  <si>
    <t>cf47</t>
  </si>
  <si>
    <t>cf49</t>
  </si>
  <si>
    <t>cf52</t>
  </si>
  <si>
    <t>cf6</t>
  </si>
  <si>
    <t>cf53</t>
  </si>
  <si>
    <t>cf8</t>
  </si>
  <si>
    <t>T0</t>
  </si>
  <si>
    <t>Riposo</t>
  </si>
  <si>
    <t>CMB</t>
  </si>
  <si>
    <t>SMART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</si>
</sst>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2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C27B0"/>
        <bgColor rgb="FF9C27B0"/>
      </patternFill>
    </fill>
    <fill>
      <patternFill patternType="solid">
        <fgColor rgb="FFFF9800"/>
        <bgColor rgb="FFFF9800"/>
      </patternFill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2" fillId="0" borderId="0" xfId="0" applyFont="1"/>
    <xf numFmtId="14" fontId="0" fillId="0" borderId="0" xfId="0" applyNumberFormat="1" applyAlignment="1">
      <alignment horizontal="left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5" sqref="C5"/>
    </sheetView>
  </sheetViews>
  <sheetFormatPr defaultRowHeight="14.25" x14ac:dyDescent="0.45"/>
  <cols>
    <col min="1" max="1" width="25" customWidth="1"/>
    <col min="2" max="2" width="50" customWidth="1"/>
    <col min="3" max="3" width="20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178</v>
      </c>
      <c r="B2" t="s">
        <v>3</v>
      </c>
      <c r="C2">
        <v>8</v>
      </c>
    </row>
    <row r="3" spans="1:3" x14ac:dyDescent="0.45">
      <c r="A3" t="s">
        <v>179</v>
      </c>
      <c r="B3" t="s">
        <v>4</v>
      </c>
      <c r="C3">
        <v>2</v>
      </c>
    </row>
    <row r="4" spans="1:3" x14ac:dyDescent="0.45">
      <c r="A4" t="s">
        <v>380</v>
      </c>
      <c r="B4" t="s">
        <v>5</v>
      </c>
      <c r="C4">
        <v>3</v>
      </c>
    </row>
    <row r="5" spans="1:3" x14ac:dyDescent="0.45">
      <c r="B5" t="s">
        <v>6</v>
      </c>
    </row>
    <row r="6" spans="1:3" x14ac:dyDescent="0.45">
      <c r="B6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2"/>
  <sheetViews>
    <sheetView workbookViewId="0">
      <selection activeCell="B30" sqref="B30"/>
    </sheetView>
  </sheetViews>
  <sheetFormatPr defaultRowHeight="14.25" x14ac:dyDescent="0.45"/>
  <cols>
    <col min="1" max="1" width="12" customWidth="1"/>
    <col min="2" max="2" width="30" customWidth="1"/>
    <col min="3" max="5" width="12" customWidth="1"/>
    <col min="6" max="7" width="18" customWidth="1"/>
    <col min="8" max="8" width="35" customWidth="1"/>
  </cols>
  <sheetData>
    <row r="1" spans="1:8" x14ac:dyDescent="0.45">
      <c r="A1" s="2" t="s">
        <v>8</v>
      </c>
      <c r="B1" s="2" t="s">
        <v>1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</row>
    <row r="2" spans="1:8" x14ac:dyDescent="0.45">
      <c r="A2" t="s">
        <v>378</v>
      </c>
      <c r="B2" t="s">
        <v>379</v>
      </c>
      <c r="E2">
        <v>0</v>
      </c>
    </row>
    <row r="3" spans="1:8" x14ac:dyDescent="0.45">
      <c r="A3" t="s">
        <v>15</v>
      </c>
      <c r="B3" t="str">
        <f>+C3&amp;"-"&amp;D3</f>
        <v>08:30-12:30</v>
      </c>
      <c r="C3" t="s">
        <v>180</v>
      </c>
      <c r="D3" t="s">
        <v>181</v>
      </c>
      <c r="E3">
        <v>4</v>
      </c>
      <c r="H3" t="s">
        <v>18</v>
      </c>
    </row>
    <row r="4" spans="1:8" x14ac:dyDescent="0.45">
      <c r="A4" t="s">
        <v>19</v>
      </c>
      <c r="B4" t="str">
        <f t="shared" ref="B4:B67" si="0">+C4&amp;"-"&amp;D4</f>
        <v>08:30-14:30</v>
      </c>
      <c r="C4" t="s">
        <v>180</v>
      </c>
      <c r="D4" t="s">
        <v>182</v>
      </c>
      <c r="E4">
        <v>6</v>
      </c>
      <c r="H4" t="s">
        <v>21</v>
      </c>
    </row>
    <row r="5" spans="1:8" x14ac:dyDescent="0.45">
      <c r="A5" t="s">
        <v>22</v>
      </c>
      <c r="B5" t="str">
        <f t="shared" si="0"/>
        <v>08:30-16:30</v>
      </c>
      <c r="C5" t="s">
        <v>180</v>
      </c>
      <c r="D5" t="s">
        <v>80</v>
      </c>
      <c r="E5">
        <v>8</v>
      </c>
      <c r="H5" t="s">
        <v>26</v>
      </c>
    </row>
    <row r="6" spans="1:8" x14ac:dyDescent="0.45">
      <c r="A6" t="s">
        <v>27</v>
      </c>
      <c r="B6" t="str">
        <f t="shared" si="0"/>
        <v>08:45-12:45</v>
      </c>
      <c r="C6" t="s">
        <v>183</v>
      </c>
      <c r="D6" t="s">
        <v>184</v>
      </c>
      <c r="E6">
        <v>4</v>
      </c>
      <c r="H6" t="s">
        <v>28</v>
      </c>
    </row>
    <row r="7" spans="1:8" x14ac:dyDescent="0.45">
      <c r="A7" t="s">
        <v>29</v>
      </c>
      <c r="B7" t="str">
        <f t="shared" si="0"/>
        <v>08:45-14:45</v>
      </c>
      <c r="C7" t="s">
        <v>183</v>
      </c>
      <c r="D7" t="s">
        <v>185</v>
      </c>
      <c r="E7">
        <v>6</v>
      </c>
      <c r="H7" t="s">
        <v>31</v>
      </c>
    </row>
    <row r="8" spans="1:8" x14ac:dyDescent="0.45">
      <c r="A8" t="s">
        <v>225</v>
      </c>
      <c r="B8" t="str">
        <f t="shared" si="0"/>
        <v>09:00-13:00</v>
      </c>
      <c r="C8" t="s">
        <v>16</v>
      </c>
      <c r="D8" t="s">
        <v>23</v>
      </c>
      <c r="E8">
        <v>4</v>
      </c>
    </row>
    <row r="9" spans="1:8" x14ac:dyDescent="0.45">
      <c r="A9" t="s">
        <v>226</v>
      </c>
      <c r="B9" t="str">
        <f t="shared" si="0"/>
        <v>09:00-15:00</v>
      </c>
      <c r="C9" t="s">
        <v>16</v>
      </c>
      <c r="D9" t="s">
        <v>186</v>
      </c>
      <c r="E9">
        <v>6</v>
      </c>
    </row>
    <row r="10" spans="1:8" x14ac:dyDescent="0.45">
      <c r="A10" t="s">
        <v>227</v>
      </c>
      <c r="B10" t="str">
        <f t="shared" si="0"/>
        <v>09:00-17:00</v>
      </c>
      <c r="C10" t="s">
        <v>16</v>
      </c>
      <c r="D10" t="s">
        <v>24</v>
      </c>
      <c r="E10">
        <v>8</v>
      </c>
    </row>
    <row r="11" spans="1:8" x14ac:dyDescent="0.45">
      <c r="A11" t="s">
        <v>228</v>
      </c>
      <c r="B11" t="str">
        <f t="shared" si="0"/>
        <v>09:15-13:15</v>
      </c>
      <c r="C11" t="s">
        <v>187</v>
      </c>
      <c r="D11" t="s">
        <v>188</v>
      </c>
      <c r="E11">
        <v>4</v>
      </c>
    </row>
    <row r="12" spans="1:8" x14ac:dyDescent="0.45">
      <c r="A12" t="s">
        <v>229</v>
      </c>
      <c r="B12" t="str">
        <f t="shared" si="0"/>
        <v>09:15-15:15</v>
      </c>
      <c r="C12" t="s">
        <v>187</v>
      </c>
      <c r="D12" t="s">
        <v>189</v>
      </c>
      <c r="E12">
        <v>6</v>
      </c>
    </row>
    <row r="13" spans="1:8" x14ac:dyDescent="0.45">
      <c r="A13" t="s">
        <v>230</v>
      </c>
      <c r="B13" t="str">
        <f t="shared" si="0"/>
        <v>09:30-13:30</v>
      </c>
      <c r="C13" t="s">
        <v>190</v>
      </c>
      <c r="D13" t="s">
        <v>191</v>
      </c>
      <c r="E13">
        <v>4</v>
      </c>
    </row>
    <row r="14" spans="1:8" x14ac:dyDescent="0.45">
      <c r="A14" t="s">
        <v>231</v>
      </c>
      <c r="B14" t="str">
        <f t="shared" si="0"/>
        <v>09:30-15:30</v>
      </c>
      <c r="C14" t="s">
        <v>190</v>
      </c>
      <c r="D14" t="s">
        <v>192</v>
      </c>
      <c r="E14">
        <v>6</v>
      </c>
    </row>
    <row r="15" spans="1:8" x14ac:dyDescent="0.45">
      <c r="A15" t="s">
        <v>232</v>
      </c>
      <c r="B15" t="str">
        <f t="shared" si="0"/>
        <v>09:30-17:30</v>
      </c>
      <c r="C15" t="s">
        <v>190</v>
      </c>
      <c r="D15" t="s">
        <v>193</v>
      </c>
      <c r="E15">
        <v>8</v>
      </c>
    </row>
    <row r="16" spans="1:8" x14ac:dyDescent="0.45">
      <c r="A16" t="s">
        <v>233</v>
      </c>
      <c r="B16" t="str">
        <f t="shared" si="0"/>
        <v>09:45-13:45</v>
      </c>
      <c r="C16" t="s">
        <v>194</v>
      </c>
      <c r="D16" t="s">
        <v>195</v>
      </c>
      <c r="E16">
        <v>4</v>
      </c>
    </row>
    <row r="17" spans="1:5" x14ac:dyDescent="0.45">
      <c r="A17" t="s">
        <v>234</v>
      </c>
      <c r="B17" t="str">
        <f t="shared" si="0"/>
        <v>09:45-15:45</v>
      </c>
      <c r="C17" t="s">
        <v>194</v>
      </c>
      <c r="D17" t="s">
        <v>196</v>
      </c>
      <c r="E17">
        <v>6</v>
      </c>
    </row>
    <row r="18" spans="1:5" x14ac:dyDescent="0.45">
      <c r="A18" t="s">
        <v>235</v>
      </c>
      <c r="B18" t="str">
        <f t="shared" si="0"/>
        <v>10:00-14:00</v>
      </c>
      <c r="C18" t="s">
        <v>197</v>
      </c>
      <c r="D18" t="s">
        <v>20</v>
      </c>
      <c r="E18">
        <v>4</v>
      </c>
    </row>
    <row r="19" spans="1:5" x14ac:dyDescent="0.45">
      <c r="A19" t="s">
        <v>236</v>
      </c>
      <c r="B19" t="str">
        <f t="shared" si="0"/>
        <v>10:00-16:00</v>
      </c>
      <c r="C19" t="s">
        <v>197</v>
      </c>
      <c r="D19" t="s">
        <v>30</v>
      </c>
      <c r="E19">
        <v>6</v>
      </c>
    </row>
    <row r="20" spans="1:5" x14ac:dyDescent="0.45">
      <c r="A20" t="s">
        <v>237</v>
      </c>
      <c r="B20" t="str">
        <f t="shared" si="0"/>
        <v>10:00-18:00</v>
      </c>
      <c r="C20" t="s">
        <v>197</v>
      </c>
      <c r="D20" t="s">
        <v>17</v>
      </c>
      <c r="E20">
        <v>8</v>
      </c>
    </row>
    <row r="21" spans="1:5" x14ac:dyDescent="0.45">
      <c r="A21" t="s">
        <v>238</v>
      </c>
      <c r="B21" t="str">
        <f t="shared" si="0"/>
        <v>10:15-14:15</v>
      </c>
      <c r="C21" t="s">
        <v>198</v>
      </c>
      <c r="D21" t="s">
        <v>199</v>
      </c>
      <c r="E21">
        <v>4</v>
      </c>
    </row>
    <row r="22" spans="1:5" x14ac:dyDescent="0.45">
      <c r="A22" t="s">
        <v>239</v>
      </c>
      <c r="B22" t="str">
        <f t="shared" si="0"/>
        <v>10:15-16:15</v>
      </c>
      <c r="C22" t="s">
        <v>198</v>
      </c>
      <c r="D22" t="s">
        <v>200</v>
      </c>
      <c r="E22">
        <v>6</v>
      </c>
    </row>
    <row r="23" spans="1:5" x14ac:dyDescent="0.45">
      <c r="A23" t="s">
        <v>240</v>
      </c>
      <c r="B23" t="str">
        <f t="shared" si="0"/>
        <v>10:30-14:30</v>
      </c>
      <c r="C23" t="s">
        <v>201</v>
      </c>
      <c r="D23" t="s">
        <v>182</v>
      </c>
      <c r="E23">
        <v>4</v>
      </c>
    </row>
    <row r="24" spans="1:5" x14ac:dyDescent="0.45">
      <c r="A24" t="s">
        <v>241</v>
      </c>
      <c r="B24" t="str">
        <f t="shared" si="0"/>
        <v>10:30-16:30</v>
      </c>
      <c r="C24" t="s">
        <v>201</v>
      </c>
      <c r="D24" t="s">
        <v>80</v>
      </c>
      <c r="E24">
        <v>6</v>
      </c>
    </row>
    <row r="25" spans="1:5" x14ac:dyDescent="0.45">
      <c r="A25" t="s">
        <v>242</v>
      </c>
      <c r="B25" t="str">
        <f t="shared" si="0"/>
        <v>10:30-18:30</v>
      </c>
      <c r="C25" t="s">
        <v>201</v>
      </c>
      <c r="D25" t="s">
        <v>202</v>
      </c>
      <c r="E25">
        <v>8</v>
      </c>
    </row>
    <row r="26" spans="1:5" x14ac:dyDescent="0.45">
      <c r="A26" t="s">
        <v>243</v>
      </c>
      <c r="B26" t="str">
        <f t="shared" si="0"/>
        <v>10:45-14:45</v>
      </c>
      <c r="C26" t="s">
        <v>77</v>
      </c>
      <c r="D26" t="s">
        <v>185</v>
      </c>
      <c r="E26">
        <v>4</v>
      </c>
    </row>
    <row r="27" spans="1:5" x14ac:dyDescent="0.45">
      <c r="A27" t="s">
        <v>244</v>
      </c>
      <c r="B27" t="str">
        <f t="shared" si="0"/>
        <v>10:45-16:45</v>
      </c>
      <c r="C27" t="s">
        <v>77</v>
      </c>
      <c r="D27" t="s">
        <v>81</v>
      </c>
      <c r="E27">
        <v>6</v>
      </c>
    </row>
    <row r="28" spans="1:5" x14ac:dyDescent="0.45">
      <c r="A28" t="s">
        <v>245</v>
      </c>
      <c r="B28" t="str">
        <f t="shared" si="0"/>
        <v>11:00-15:00</v>
      </c>
      <c r="C28" t="s">
        <v>78</v>
      </c>
      <c r="D28" t="s">
        <v>186</v>
      </c>
      <c r="E28">
        <v>4</v>
      </c>
    </row>
    <row r="29" spans="1:5" x14ac:dyDescent="0.45">
      <c r="A29" t="s">
        <v>246</v>
      </c>
      <c r="B29" t="str">
        <f t="shared" si="0"/>
        <v>11:00-17:00</v>
      </c>
      <c r="C29" t="s">
        <v>78</v>
      </c>
      <c r="D29" t="s">
        <v>24</v>
      </c>
      <c r="E29">
        <v>6</v>
      </c>
    </row>
    <row r="30" spans="1:5" x14ac:dyDescent="0.45">
      <c r="A30" t="s">
        <v>247</v>
      </c>
      <c r="B30" t="str">
        <f t="shared" si="0"/>
        <v>11:00-19:00</v>
      </c>
      <c r="C30" t="s">
        <v>78</v>
      </c>
      <c r="D30" t="s">
        <v>203</v>
      </c>
      <c r="E30">
        <v>8</v>
      </c>
    </row>
    <row r="31" spans="1:5" x14ac:dyDescent="0.45">
      <c r="A31" t="s">
        <v>248</v>
      </c>
      <c r="B31" t="str">
        <f t="shared" si="0"/>
        <v>11:15-15:15</v>
      </c>
      <c r="C31" t="s">
        <v>204</v>
      </c>
      <c r="D31" t="s">
        <v>189</v>
      </c>
      <c r="E31">
        <v>4</v>
      </c>
    </row>
    <row r="32" spans="1:5" x14ac:dyDescent="0.45">
      <c r="A32" t="s">
        <v>249</v>
      </c>
      <c r="B32" t="str">
        <f t="shared" si="0"/>
        <v>11:15-17:15</v>
      </c>
      <c r="C32" t="s">
        <v>204</v>
      </c>
      <c r="D32" t="s">
        <v>205</v>
      </c>
      <c r="E32">
        <v>6</v>
      </c>
    </row>
    <row r="33" spans="1:5" x14ac:dyDescent="0.45">
      <c r="A33" t="s">
        <v>250</v>
      </c>
      <c r="B33" t="str">
        <f t="shared" si="0"/>
        <v>11:30-15:30</v>
      </c>
      <c r="C33" t="s">
        <v>206</v>
      </c>
      <c r="D33" t="s">
        <v>192</v>
      </c>
      <c r="E33">
        <v>4</v>
      </c>
    </row>
    <row r="34" spans="1:5" x14ac:dyDescent="0.45">
      <c r="A34" t="s">
        <v>251</v>
      </c>
      <c r="B34" t="str">
        <f t="shared" si="0"/>
        <v>11:30-17:30</v>
      </c>
      <c r="C34" t="s">
        <v>206</v>
      </c>
      <c r="D34" t="s">
        <v>193</v>
      </c>
      <c r="E34">
        <v>6</v>
      </c>
    </row>
    <row r="35" spans="1:5" x14ac:dyDescent="0.45">
      <c r="A35" t="s">
        <v>252</v>
      </c>
      <c r="B35" t="str">
        <f t="shared" si="0"/>
        <v>11:30-19:30</v>
      </c>
      <c r="C35" t="s">
        <v>206</v>
      </c>
      <c r="D35" t="s">
        <v>207</v>
      </c>
      <c r="E35">
        <v>8</v>
      </c>
    </row>
    <row r="36" spans="1:5" x14ac:dyDescent="0.45">
      <c r="A36" t="s">
        <v>253</v>
      </c>
      <c r="B36" t="str">
        <f t="shared" si="0"/>
        <v>11:45-15:45</v>
      </c>
      <c r="C36" t="s">
        <v>208</v>
      </c>
      <c r="D36" t="s">
        <v>196</v>
      </c>
      <c r="E36">
        <v>4</v>
      </c>
    </row>
    <row r="37" spans="1:5" x14ac:dyDescent="0.45">
      <c r="A37" t="s">
        <v>254</v>
      </c>
      <c r="B37" t="str">
        <f t="shared" si="0"/>
        <v>11:45-17:45</v>
      </c>
      <c r="C37" t="s">
        <v>208</v>
      </c>
      <c r="D37" t="s">
        <v>209</v>
      </c>
      <c r="E37">
        <v>6</v>
      </c>
    </row>
    <row r="38" spans="1:5" x14ac:dyDescent="0.45">
      <c r="A38" t="s">
        <v>255</v>
      </c>
      <c r="B38" t="str">
        <f t="shared" si="0"/>
        <v>12:00-16:00</v>
      </c>
      <c r="C38" t="s">
        <v>210</v>
      </c>
      <c r="D38" t="s">
        <v>30</v>
      </c>
      <c r="E38">
        <v>4</v>
      </c>
    </row>
    <row r="39" spans="1:5" x14ac:dyDescent="0.45">
      <c r="A39" t="s">
        <v>256</v>
      </c>
      <c r="B39" t="str">
        <f t="shared" si="0"/>
        <v>12:00-18:00</v>
      </c>
      <c r="C39" t="s">
        <v>210</v>
      </c>
      <c r="D39" t="s">
        <v>17</v>
      </c>
      <c r="E39">
        <v>6</v>
      </c>
    </row>
    <row r="40" spans="1:5" x14ac:dyDescent="0.45">
      <c r="A40" t="s">
        <v>257</v>
      </c>
      <c r="B40" t="str">
        <f t="shared" si="0"/>
        <v>12:00-20:00</v>
      </c>
      <c r="C40" t="s">
        <v>210</v>
      </c>
      <c r="D40" t="s">
        <v>76</v>
      </c>
      <c r="E40">
        <v>8</v>
      </c>
    </row>
    <row r="41" spans="1:5" x14ac:dyDescent="0.45">
      <c r="A41" t="s">
        <v>258</v>
      </c>
      <c r="B41" t="str">
        <f t="shared" si="0"/>
        <v>12:15-16:15</v>
      </c>
      <c r="C41" t="s">
        <v>211</v>
      </c>
      <c r="D41" t="s">
        <v>200</v>
      </c>
      <c r="E41">
        <v>4</v>
      </c>
    </row>
    <row r="42" spans="1:5" x14ac:dyDescent="0.45">
      <c r="A42" t="s">
        <v>259</v>
      </c>
      <c r="B42" t="str">
        <f t="shared" si="0"/>
        <v>12:15-18:15</v>
      </c>
      <c r="C42" t="s">
        <v>211</v>
      </c>
      <c r="D42" t="s">
        <v>212</v>
      </c>
      <c r="E42">
        <v>6</v>
      </c>
    </row>
    <row r="43" spans="1:5" x14ac:dyDescent="0.45">
      <c r="A43" t="s">
        <v>260</v>
      </c>
      <c r="B43" t="str">
        <f t="shared" si="0"/>
        <v>12:30-16:30</v>
      </c>
      <c r="C43" t="s">
        <v>181</v>
      </c>
      <c r="D43" t="s">
        <v>80</v>
      </c>
      <c r="E43">
        <v>4</v>
      </c>
    </row>
    <row r="44" spans="1:5" x14ac:dyDescent="0.45">
      <c r="A44" t="s">
        <v>261</v>
      </c>
      <c r="B44" t="str">
        <f t="shared" si="0"/>
        <v>12:30-18:30</v>
      </c>
      <c r="C44" t="s">
        <v>181</v>
      </c>
      <c r="D44" t="s">
        <v>202</v>
      </c>
      <c r="E44">
        <v>6</v>
      </c>
    </row>
    <row r="45" spans="1:5" x14ac:dyDescent="0.45">
      <c r="A45" t="s">
        <v>262</v>
      </c>
      <c r="B45" t="str">
        <f t="shared" si="0"/>
        <v>12:30-20:30</v>
      </c>
      <c r="C45" t="s">
        <v>181</v>
      </c>
      <c r="D45" t="s">
        <v>213</v>
      </c>
      <c r="E45">
        <v>8</v>
      </c>
    </row>
    <row r="46" spans="1:5" x14ac:dyDescent="0.45">
      <c r="A46" t="s">
        <v>263</v>
      </c>
      <c r="B46" t="str">
        <f t="shared" si="0"/>
        <v>12:45-16:45</v>
      </c>
      <c r="C46" t="s">
        <v>184</v>
      </c>
      <c r="D46" t="s">
        <v>81</v>
      </c>
      <c r="E46">
        <v>4</v>
      </c>
    </row>
    <row r="47" spans="1:5" x14ac:dyDescent="0.45">
      <c r="A47" t="s">
        <v>264</v>
      </c>
      <c r="B47" t="str">
        <f t="shared" si="0"/>
        <v>12:45-18:45</v>
      </c>
      <c r="C47" t="s">
        <v>184</v>
      </c>
      <c r="D47" t="s">
        <v>214</v>
      </c>
      <c r="E47">
        <v>6</v>
      </c>
    </row>
    <row r="48" spans="1:5" x14ac:dyDescent="0.45">
      <c r="A48" t="s">
        <v>265</v>
      </c>
      <c r="B48" t="str">
        <f t="shared" si="0"/>
        <v>13:00-17:00</v>
      </c>
      <c r="C48" t="s">
        <v>23</v>
      </c>
      <c r="D48" t="s">
        <v>24</v>
      </c>
      <c r="E48">
        <v>4</v>
      </c>
    </row>
    <row r="49" spans="1:5" x14ac:dyDescent="0.45">
      <c r="A49" t="s">
        <v>266</v>
      </c>
      <c r="B49" t="str">
        <f t="shared" si="0"/>
        <v>13:00-19:00</v>
      </c>
      <c r="C49" t="s">
        <v>23</v>
      </c>
      <c r="D49" t="s">
        <v>203</v>
      </c>
      <c r="E49">
        <v>6</v>
      </c>
    </row>
    <row r="50" spans="1:5" x14ac:dyDescent="0.45">
      <c r="A50" t="s">
        <v>267</v>
      </c>
      <c r="B50" t="str">
        <f t="shared" si="0"/>
        <v>13:00-21:00</v>
      </c>
      <c r="C50" t="s">
        <v>23</v>
      </c>
      <c r="D50" t="s">
        <v>25</v>
      </c>
      <c r="E50">
        <v>8</v>
      </c>
    </row>
    <row r="51" spans="1:5" x14ac:dyDescent="0.45">
      <c r="A51" t="s">
        <v>268</v>
      </c>
      <c r="B51" t="str">
        <f t="shared" si="0"/>
        <v>13:15-17:15</v>
      </c>
      <c r="C51" t="s">
        <v>188</v>
      </c>
      <c r="D51" t="s">
        <v>205</v>
      </c>
      <c r="E51">
        <v>4</v>
      </c>
    </row>
    <row r="52" spans="1:5" x14ac:dyDescent="0.45">
      <c r="A52" t="s">
        <v>269</v>
      </c>
      <c r="B52" t="str">
        <f t="shared" si="0"/>
        <v>13:30-17:30</v>
      </c>
      <c r="C52" t="s">
        <v>191</v>
      </c>
      <c r="D52" t="s">
        <v>193</v>
      </c>
      <c r="E52">
        <v>4</v>
      </c>
    </row>
    <row r="53" spans="1:5" x14ac:dyDescent="0.45">
      <c r="A53" t="s">
        <v>270</v>
      </c>
      <c r="B53" t="str">
        <f t="shared" si="0"/>
        <v>13:30-19:30</v>
      </c>
      <c r="C53" t="s">
        <v>191</v>
      </c>
      <c r="D53" t="s">
        <v>207</v>
      </c>
      <c r="E53">
        <v>6</v>
      </c>
    </row>
    <row r="54" spans="1:5" x14ac:dyDescent="0.45">
      <c r="A54" t="s">
        <v>271</v>
      </c>
      <c r="B54" t="str">
        <f t="shared" si="0"/>
        <v>13:45-17:45</v>
      </c>
      <c r="C54" t="s">
        <v>195</v>
      </c>
      <c r="D54" t="s">
        <v>209</v>
      </c>
      <c r="E54">
        <v>4</v>
      </c>
    </row>
    <row r="55" spans="1:5" x14ac:dyDescent="0.45">
      <c r="A55" t="s">
        <v>272</v>
      </c>
      <c r="B55" t="str">
        <f t="shared" si="0"/>
        <v>13:45-19:45</v>
      </c>
      <c r="C55" t="s">
        <v>195</v>
      </c>
      <c r="D55" t="s">
        <v>215</v>
      </c>
      <c r="E55">
        <v>6</v>
      </c>
    </row>
    <row r="56" spans="1:5" x14ac:dyDescent="0.45">
      <c r="A56" t="s">
        <v>273</v>
      </c>
      <c r="B56" t="str">
        <f t="shared" si="0"/>
        <v>14:00-18:00</v>
      </c>
      <c r="C56" t="s">
        <v>20</v>
      </c>
      <c r="D56" t="s">
        <v>17</v>
      </c>
      <c r="E56">
        <v>4</v>
      </c>
    </row>
    <row r="57" spans="1:5" x14ac:dyDescent="0.45">
      <c r="A57" t="s">
        <v>274</v>
      </c>
      <c r="B57" t="str">
        <f t="shared" si="0"/>
        <v>14:00-20:00</v>
      </c>
      <c r="C57" t="s">
        <v>20</v>
      </c>
      <c r="D57" t="s">
        <v>76</v>
      </c>
      <c r="E57">
        <v>6</v>
      </c>
    </row>
    <row r="58" spans="1:5" x14ac:dyDescent="0.45">
      <c r="A58" t="s">
        <v>275</v>
      </c>
      <c r="B58" t="str">
        <f t="shared" si="0"/>
        <v>14:15-18:15</v>
      </c>
      <c r="C58" t="s">
        <v>199</v>
      </c>
      <c r="D58" t="s">
        <v>212</v>
      </c>
      <c r="E58">
        <v>4</v>
      </c>
    </row>
    <row r="59" spans="1:5" x14ac:dyDescent="0.45">
      <c r="A59" t="s">
        <v>276</v>
      </c>
      <c r="B59" t="str">
        <f t="shared" si="0"/>
        <v>14:30-18:30</v>
      </c>
      <c r="C59" t="s">
        <v>182</v>
      </c>
      <c r="D59" t="s">
        <v>202</v>
      </c>
      <c r="E59">
        <v>4</v>
      </c>
    </row>
    <row r="60" spans="1:5" x14ac:dyDescent="0.45">
      <c r="A60" t="s">
        <v>277</v>
      </c>
      <c r="B60" t="str">
        <f t="shared" si="0"/>
        <v>14:30-20:30</v>
      </c>
      <c r="C60" t="s">
        <v>182</v>
      </c>
      <c r="D60" t="s">
        <v>213</v>
      </c>
      <c r="E60">
        <v>6</v>
      </c>
    </row>
    <row r="61" spans="1:5" x14ac:dyDescent="0.45">
      <c r="A61" t="s">
        <v>278</v>
      </c>
      <c r="B61" t="str">
        <f t="shared" si="0"/>
        <v>14:40-20:40</v>
      </c>
      <c r="C61" t="s">
        <v>216</v>
      </c>
      <c r="D61" t="s">
        <v>217</v>
      </c>
      <c r="E61">
        <v>6</v>
      </c>
    </row>
    <row r="62" spans="1:5" x14ac:dyDescent="0.45">
      <c r="A62" t="s">
        <v>279</v>
      </c>
      <c r="B62" t="str">
        <f t="shared" si="0"/>
        <v>14:45-18:45</v>
      </c>
      <c r="C62" t="s">
        <v>185</v>
      </c>
      <c r="D62" t="s">
        <v>214</v>
      </c>
      <c r="E62">
        <v>4</v>
      </c>
    </row>
    <row r="63" spans="1:5" x14ac:dyDescent="0.45">
      <c r="A63" t="s">
        <v>280</v>
      </c>
      <c r="B63" t="str">
        <f t="shared" si="0"/>
        <v>15:00-19:00</v>
      </c>
      <c r="C63" t="s">
        <v>186</v>
      </c>
      <c r="D63" t="s">
        <v>203</v>
      </c>
      <c r="E63">
        <v>4</v>
      </c>
    </row>
    <row r="64" spans="1:5" x14ac:dyDescent="0.45">
      <c r="A64" t="s">
        <v>281</v>
      </c>
      <c r="B64" t="str">
        <f t="shared" si="0"/>
        <v>15:00-21:00</v>
      </c>
      <c r="C64" t="s">
        <v>186</v>
      </c>
      <c r="D64" t="s">
        <v>25</v>
      </c>
      <c r="E64">
        <v>6</v>
      </c>
    </row>
    <row r="65" spans="1:5" x14ac:dyDescent="0.45">
      <c r="A65" t="s">
        <v>282</v>
      </c>
      <c r="B65" t="str">
        <f t="shared" si="0"/>
        <v>15:30-19:30</v>
      </c>
      <c r="C65" t="s">
        <v>192</v>
      </c>
      <c r="D65" t="s">
        <v>207</v>
      </c>
      <c r="E65">
        <v>4</v>
      </c>
    </row>
    <row r="66" spans="1:5" x14ac:dyDescent="0.45">
      <c r="A66" t="s">
        <v>283</v>
      </c>
      <c r="B66" t="str">
        <f t="shared" si="0"/>
        <v>15:45-19:45</v>
      </c>
      <c r="C66" t="s">
        <v>196</v>
      </c>
      <c r="D66" t="s">
        <v>215</v>
      </c>
      <c r="E66">
        <v>4</v>
      </c>
    </row>
    <row r="67" spans="1:5" x14ac:dyDescent="0.45">
      <c r="A67" t="s">
        <v>284</v>
      </c>
      <c r="B67" t="str">
        <f t="shared" si="0"/>
        <v>16:00-20:00</v>
      </c>
      <c r="C67" t="s">
        <v>30</v>
      </c>
      <c r="D67" t="s">
        <v>76</v>
      </c>
      <c r="E67">
        <v>4</v>
      </c>
    </row>
    <row r="68" spans="1:5" x14ac:dyDescent="0.45">
      <c r="A68" t="s">
        <v>285</v>
      </c>
      <c r="B68" t="str">
        <f t="shared" ref="B68:B102" si="1">+C68&amp;"-"&amp;D68</f>
        <v>16:30-20:30</v>
      </c>
      <c r="C68" t="s">
        <v>80</v>
      </c>
      <c r="D68" t="s">
        <v>213</v>
      </c>
      <c r="E68">
        <v>4</v>
      </c>
    </row>
    <row r="69" spans="1:5" x14ac:dyDescent="0.45">
      <c r="A69" t="s">
        <v>286</v>
      </c>
      <c r="B69" t="str">
        <f t="shared" si="1"/>
        <v>17:00-21:00</v>
      </c>
      <c r="C69" t="s">
        <v>24</v>
      </c>
      <c r="D69" t="s">
        <v>25</v>
      </c>
      <c r="E69">
        <v>4</v>
      </c>
    </row>
    <row r="70" spans="1:5" x14ac:dyDescent="0.45">
      <c r="A70" t="s">
        <v>287</v>
      </c>
      <c r="B70" t="str">
        <f t="shared" si="1"/>
        <v>15:15-19:15</v>
      </c>
      <c r="C70" t="s">
        <v>189</v>
      </c>
      <c r="D70" t="s">
        <v>218</v>
      </c>
      <c r="E70">
        <v>4</v>
      </c>
    </row>
    <row r="71" spans="1:5" x14ac:dyDescent="0.45">
      <c r="A71" t="s">
        <v>288</v>
      </c>
      <c r="B71" t="str">
        <f t="shared" si="1"/>
        <v>14:15-20:15</v>
      </c>
      <c r="C71" t="s">
        <v>199</v>
      </c>
      <c r="D71" t="s">
        <v>219</v>
      </c>
      <c r="E71">
        <v>6</v>
      </c>
    </row>
    <row r="72" spans="1:5" x14ac:dyDescent="0.45">
      <c r="A72" t="s">
        <v>289</v>
      </c>
      <c r="B72" t="str">
        <f t="shared" si="1"/>
        <v>14:45-20:45</v>
      </c>
      <c r="C72" t="s">
        <v>185</v>
      </c>
      <c r="D72" t="s">
        <v>220</v>
      </c>
      <c r="E72">
        <v>6</v>
      </c>
    </row>
    <row r="73" spans="1:5" x14ac:dyDescent="0.45">
      <c r="A73" t="s">
        <v>290</v>
      </c>
      <c r="B73" t="str">
        <f t="shared" si="1"/>
        <v>16:45-20:45</v>
      </c>
      <c r="C73" t="s">
        <v>81</v>
      </c>
      <c r="D73" t="s">
        <v>220</v>
      </c>
      <c r="E73">
        <v>4</v>
      </c>
    </row>
    <row r="74" spans="1:5" x14ac:dyDescent="0.45">
      <c r="A74" t="s">
        <v>291</v>
      </c>
      <c r="B74" t="str">
        <f t="shared" si="1"/>
        <v>14:20-20:20</v>
      </c>
      <c r="C74" t="s">
        <v>221</v>
      </c>
      <c r="D74" t="s">
        <v>222</v>
      </c>
      <c r="E74">
        <v>6</v>
      </c>
    </row>
    <row r="75" spans="1:5" x14ac:dyDescent="0.45">
      <c r="A75" t="s">
        <v>292</v>
      </c>
      <c r="B75" t="str">
        <f t="shared" si="1"/>
        <v>13:20-19:20</v>
      </c>
      <c r="C75" t="s">
        <v>223</v>
      </c>
      <c r="D75" t="s">
        <v>224</v>
      </c>
      <c r="E75">
        <v>6</v>
      </c>
    </row>
    <row r="76" spans="1:5" x14ac:dyDescent="0.45">
      <c r="A76" t="s">
        <v>293</v>
      </c>
      <c r="B76" t="str">
        <f t="shared" si="1"/>
        <v>13:15-19:15</v>
      </c>
      <c r="C76" t="s">
        <v>188</v>
      </c>
      <c r="D76" t="s">
        <v>218</v>
      </c>
      <c r="E76">
        <v>6</v>
      </c>
    </row>
    <row r="77" spans="1:5" x14ac:dyDescent="0.45">
      <c r="A77" t="s">
        <v>294</v>
      </c>
      <c r="B77" t="str">
        <f t="shared" si="1"/>
        <v>08:30-12:30</v>
      </c>
      <c r="C77" t="s">
        <v>180</v>
      </c>
      <c r="D77" t="s">
        <v>181</v>
      </c>
      <c r="E77">
        <v>4</v>
      </c>
    </row>
    <row r="78" spans="1:5" x14ac:dyDescent="0.45">
      <c r="A78" t="s">
        <v>295</v>
      </c>
      <c r="B78" t="str">
        <f t="shared" si="1"/>
        <v>16:15-20:15</v>
      </c>
      <c r="C78" t="s">
        <v>200</v>
      </c>
      <c r="D78" t="s">
        <v>219</v>
      </c>
      <c r="E78">
        <v>4</v>
      </c>
    </row>
    <row r="79" spans="1:5" x14ac:dyDescent="0.45">
      <c r="A79" t="s">
        <v>296</v>
      </c>
      <c r="B79" t="str">
        <f t="shared" si="1"/>
        <v>08:45-16:45</v>
      </c>
      <c r="C79" t="s">
        <v>183</v>
      </c>
      <c r="D79" t="s">
        <v>81</v>
      </c>
      <c r="E79">
        <v>8</v>
      </c>
    </row>
    <row r="80" spans="1:5" x14ac:dyDescent="0.45">
      <c r="A80" t="s">
        <v>297</v>
      </c>
      <c r="B80" t="str">
        <f t="shared" si="1"/>
        <v>09:15-17:15</v>
      </c>
      <c r="C80" t="s">
        <v>187</v>
      </c>
      <c r="D80" t="s">
        <v>205</v>
      </c>
      <c r="E80">
        <v>8</v>
      </c>
    </row>
    <row r="81" spans="1:5" x14ac:dyDescent="0.45">
      <c r="A81" t="s">
        <v>298</v>
      </c>
      <c r="B81" t="str">
        <f t="shared" si="1"/>
        <v>09:45-17:45</v>
      </c>
      <c r="C81" t="s">
        <v>194</v>
      </c>
      <c r="D81" t="s">
        <v>209</v>
      </c>
      <c r="E81">
        <v>8</v>
      </c>
    </row>
    <row r="82" spans="1:5" x14ac:dyDescent="0.45">
      <c r="A82" t="s">
        <v>299</v>
      </c>
      <c r="B82" t="str">
        <f t="shared" si="1"/>
        <v>10:15-18:15</v>
      </c>
      <c r="C82" t="s">
        <v>198</v>
      </c>
      <c r="D82" t="s">
        <v>212</v>
      </c>
      <c r="E82">
        <v>8</v>
      </c>
    </row>
    <row r="83" spans="1:5" x14ac:dyDescent="0.45">
      <c r="A83" t="s">
        <v>300</v>
      </c>
      <c r="B83" t="str">
        <f t="shared" si="1"/>
        <v>10:45-18:45</v>
      </c>
      <c r="C83" t="s">
        <v>77</v>
      </c>
      <c r="D83" t="s">
        <v>214</v>
      </c>
      <c r="E83">
        <v>8</v>
      </c>
    </row>
    <row r="84" spans="1:5" x14ac:dyDescent="0.45">
      <c r="A84" t="s">
        <v>301</v>
      </c>
      <c r="B84" t="str">
        <f t="shared" si="1"/>
        <v>11:15-19:15</v>
      </c>
      <c r="C84" t="s">
        <v>204</v>
      </c>
      <c r="D84" t="s">
        <v>218</v>
      </c>
      <c r="E84">
        <v>8</v>
      </c>
    </row>
    <row r="85" spans="1:5" x14ac:dyDescent="0.45">
      <c r="A85" t="s">
        <v>302</v>
      </c>
      <c r="B85" t="str">
        <f t="shared" si="1"/>
        <v>11:45-19:45</v>
      </c>
      <c r="C85" t="s">
        <v>208</v>
      </c>
      <c r="D85" t="s">
        <v>215</v>
      </c>
      <c r="E85">
        <v>8</v>
      </c>
    </row>
    <row r="86" spans="1:5" x14ac:dyDescent="0.45">
      <c r="A86" t="s">
        <v>303</v>
      </c>
      <c r="B86" t="str">
        <f t="shared" si="1"/>
        <v>12:15-20:15</v>
      </c>
      <c r="C86" t="s">
        <v>211</v>
      </c>
      <c r="D86" t="s">
        <v>219</v>
      </c>
      <c r="E86">
        <v>8</v>
      </c>
    </row>
    <row r="87" spans="1:5" x14ac:dyDescent="0.45">
      <c r="A87" t="s">
        <v>304</v>
      </c>
      <c r="B87" t="str">
        <f t="shared" si="1"/>
        <v>12:45-20:45</v>
      </c>
      <c r="C87" t="s">
        <v>184</v>
      </c>
      <c r="D87" t="s">
        <v>220</v>
      </c>
      <c r="E87">
        <v>8</v>
      </c>
    </row>
    <row r="88" spans="1:5" x14ac:dyDescent="0.45">
      <c r="A88" t="s">
        <v>305</v>
      </c>
      <c r="B88" t="str">
        <f t="shared" si="1"/>
        <v>08:30-14:30</v>
      </c>
      <c r="C88" t="s">
        <v>180</v>
      </c>
      <c r="D88" t="s">
        <v>182</v>
      </c>
      <c r="E88">
        <v>6</v>
      </c>
    </row>
    <row r="89" spans="1:5" x14ac:dyDescent="0.45">
      <c r="A89" t="s">
        <v>306</v>
      </c>
      <c r="B89" t="str">
        <f t="shared" si="1"/>
        <v>08:30-16:30</v>
      </c>
      <c r="C89" t="s">
        <v>180</v>
      </c>
      <c r="D89" t="s">
        <v>80</v>
      </c>
      <c r="E89">
        <v>8</v>
      </c>
    </row>
    <row r="90" spans="1:5" x14ac:dyDescent="0.45">
      <c r="A90" t="s">
        <v>307</v>
      </c>
      <c r="B90" t="str">
        <f t="shared" si="1"/>
        <v>09:00-13:00</v>
      </c>
      <c r="C90" t="s">
        <v>16</v>
      </c>
      <c r="D90" t="s">
        <v>23</v>
      </c>
      <c r="E90">
        <v>4</v>
      </c>
    </row>
    <row r="91" spans="1:5" x14ac:dyDescent="0.45">
      <c r="A91" t="s">
        <v>308</v>
      </c>
      <c r="B91" t="str">
        <f t="shared" si="1"/>
        <v>09:00-15:00</v>
      </c>
      <c r="C91" t="s">
        <v>16</v>
      </c>
      <c r="D91" t="s">
        <v>186</v>
      </c>
      <c r="E91">
        <v>6</v>
      </c>
    </row>
    <row r="92" spans="1:5" x14ac:dyDescent="0.45">
      <c r="A92" t="s">
        <v>309</v>
      </c>
      <c r="B92" t="str">
        <f t="shared" si="1"/>
        <v>09:00-17:00</v>
      </c>
      <c r="C92" t="s">
        <v>16</v>
      </c>
      <c r="D92" t="s">
        <v>24</v>
      </c>
      <c r="E92">
        <v>8</v>
      </c>
    </row>
    <row r="93" spans="1:5" x14ac:dyDescent="0.45">
      <c r="A93" t="s">
        <v>310</v>
      </c>
      <c r="B93" t="str">
        <f t="shared" si="1"/>
        <v>09:30-17:30</v>
      </c>
      <c r="C93" t="s">
        <v>190</v>
      </c>
      <c r="D93" t="s">
        <v>193</v>
      </c>
      <c r="E93">
        <v>8</v>
      </c>
    </row>
    <row r="94" spans="1:5" x14ac:dyDescent="0.45">
      <c r="A94" t="s">
        <v>311</v>
      </c>
      <c r="B94" t="str">
        <f t="shared" si="1"/>
        <v>10:00-18:00</v>
      </c>
      <c r="C94" t="s">
        <v>197</v>
      </c>
      <c r="D94" t="s">
        <v>17</v>
      </c>
      <c r="E94">
        <v>8</v>
      </c>
    </row>
    <row r="95" spans="1:5" x14ac:dyDescent="0.45">
      <c r="A95" t="s">
        <v>312</v>
      </c>
      <c r="B95" t="str">
        <f t="shared" si="1"/>
        <v>11:00-17:00</v>
      </c>
      <c r="C95" t="s">
        <v>78</v>
      </c>
      <c r="D95" t="s">
        <v>24</v>
      </c>
      <c r="E95">
        <v>6</v>
      </c>
    </row>
    <row r="96" spans="1:5" x14ac:dyDescent="0.45">
      <c r="A96" t="s">
        <v>313</v>
      </c>
      <c r="B96" t="str">
        <f t="shared" si="1"/>
        <v>11:00-19:00</v>
      </c>
      <c r="C96" t="s">
        <v>78</v>
      </c>
      <c r="D96" t="s">
        <v>203</v>
      </c>
      <c r="E96">
        <v>8</v>
      </c>
    </row>
    <row r="97" spans="1:5" x14ac:dyDescent="0.45">
      <c r="A97" t="s">
        <v>314</v>
      </c>
      <c r="B97" t="str">
        <f t="shared" si="1"/>
        <v>11:30-19:30</v>
      </c>
      <c r="C97" t="s">
        <v>206</v>
      </c>
      <c r="D97" t="s">
        <v>207</v>
      </c>
      <c r="E97">
        <v>8</v>
      </c>
    </row>
    <row r="98" spans="1:5" x14ac:dyDescent="0.45">
      <c r="A98" t="s">
        <v>315</v>
      </c>
      <c r="B98" t="str">
        <f t="shared" si="1"/>
        <v>12:00-20:00</v>
      </c>
      <c r="C98" t="s">
        <v>210</v>
      </c>
      <c r="D98" t="s">
        <v>76</v>
      </c>
      <c r="E98">
        <v>8</v>
      </c>
    </row>
    <row r="99" spans="1:5" x14ac:dyDescent="0.45">
      <c r="A99" t="s">
        <v>316</v>
      </c>
      <c r="B99" t="str">
        <f t="shared" si="1"/>
        <v>12:30-20:30</v>
      </c>
      <c r="C99" t="s">
        <v>181</v>
      </c>
      <c r="D99" t="s">
        <v>213</v>
      </c>
      <c r="E99">
        <v>8</v>
      </c>
    </row>
    <row r="100" spans="1:5" x14ac:dyDescent="0.45">
      <c r="A100" t="s">
        <v>317</v>
      </c>
      <c r="B100" t="str">
        <f t="shared" si="1"/>
        <v>13:00-21:00</v>
      </c>
      <c r="C100" t="s">
        <v>23</v>
      </c>
      <c r="D100" t="s">
        <v>25</v>
      </c>
      <c r="E100">
        <v>8</v>
      </c>
    </row>
    <row r="101" spans="1:5" x14ac:dyDescent="0.45">
      <c r="A101" t="s">
        <v>318</v>
      </c>
      <c r="B101" t="str">
        <f t="shared" si="1"/>
        <v>14:00-20:00</v>
      </c>
      <c r="C101" t="s">
        <v>20</v>
      </c>
      <c r="D101" t="s">
        <v>76</v>
      </c>
      <c r="E101">
        <v>6</v>
      </c>
    </row>
    <row r="102" spans="1:5" x14ac:dyDescent="0.45">
      <c r="A102" t="s">
        <v>319</v>
      </c>
      <c r="B102" t="str">
        <f t="shared" si="1"/>
        <v>11:45-19:45</v>
      </c>
      <c r="C102" t="s">
        <v>208</v>
      </c>
      <c r="D102" t="s">
        <v>215</v>
      </c>
      <c r="E102">
        <v>8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141"/>
  <sheetViews>
    <sheetView topLeftCell="A92" workbookViewId="0">
      <selection activeCell="J10" sqref="J10"/>
    </sheetView>
  </sheetViews>
  <sheetFormatPr defaultRowHeight="14.25" x14ac:dyDescent="0.45"/>
  <cols>
    <col min="1" max="3" width="12" customWidth="1"/>
    <col min="4" max="4" width="15" customWidth="1"/>
  </cols>
  <sheetData>
    <row r="1" spans="1:45" ht="42.75" x14ac:dyDescent="0.45">
      <c r="A1" s="3" t="s">
        <v>32</v>
      </c>
      <c r="B1" s="3" t="s">
        <v>33</v>
      </c>
      <c r="C1" s="3" t="s">
        <v>34</v>
      </c>
      <c r="D1" s="3" t="s">
        <v>35</v>
      </c>
      <c r="E1" s="3" t="s">
        <v>36</v>
      </c>
      <c r="F1" s="3" t="s">
        <v>37</v>
      </c>
      <c r="G1" s="3" t="s">
        <v>38</v>
      </c>
      <c r="H1" s="3" t="s">
        <v>8</v>
      </c>
      <c r="I1" s="3" t="s">
        <v>39</v>
      </c>
      <c r="J1" s="3" t="s">
        <v>40</v>
      </c>
      <c r="K1" s="3" t="s">
        <v>41</v>
      </c>
      <c r="L1" s="3" t="s">
        <v>42</v>
      </c>
      <c r="M1" s="3" t="s">
        <v>43</v>
      </c>
      <c r="N1" s="3" t="s">
        <v>44</v>
      </c>
      <c r="O1" s="3" t="s">
        <v>45</v>
      </c>
      <c r="P1" s="3" t="s">
        <v>46</v>
      </c>
      <c r="Q1" s="3" t="s">
        <v>47</v>
      </c>
      <c r="R1" s="3" t="s">
        <v>48</v>
      </c>
      <c r="S1" s="3" t="s">
        <v>49</v>
      </c>
      <c r="T1" s="3" t="s">
        <v>50</v>
      </c>
      <c r="U1" s="3" t="s">
        <v>51</v>
      </c>
      <c r="V1" s="3" t="s">
        <v>52</v>
      </c>
      <c r="W1" s="3" t="s">
        <v>53</v>
      </c>
      <c r="X1" s="3" t="s">
        <v>54</v>
      </c>
      <c r="Y1" s="3" t="s">
        <v>55</v>
      </c>
      <c r="Z1" s="3" t="s">
        <v>56</v>
      </c>
      <c r="AA1" s="3" t="s">
        <v>57</v>
      </c>
      <c r="AB1" s="3" t="s">
        <v>58</v>
      </c>
      <c r="AC1" s="3" t="s">
        <v>59</v>
      </c>
      <c r="AD1" s="3" t="s">
        <v>60</v>
      </c>
      <c r="AE1" s="3" t="s">
        <v>61</v>
      </c>
      <c r="AF1" s="3" t="s">
        <v>62</v>
      </c>
      <c r="AG1" s="3" t="s">
        <v>63</v>
      </c>
      <c r="AH1" s="3" t="s">
        <v>64</v>
      </c>
      <c r="AI1" s="3" t="s">
        <v>65</v>
      </c>
      <c r="AJ1" s="3" t="s">
        <v>66</v>
      </c>
      <c r="AK1" s="3" t="s">
        <v>67</v>
      </c>
      <c r="AL1" s="3" t="s">
        <v>68</v>
      </c>
      <c r="AM1" s="3" t="s">
        <v>69</v>
      </c>
      <c r="AN1" s="3" t="s">
        <v>70</v>
      </c>
      <c r="AO1" s="3" t="s">
        <v>71</v>
      </c>
      <c r="AP1" s="3" t="s">
        <v>72</v>
      </c>
      <c r="AQ1" s="3" t="s">
        <v>73</v>
      </c>
      <c r="AR1" s="3" t="s">
        <v>74</v>
      </c>
      <c r="AS1" s="3" t="s">
        <v>75</v>
      </c>
    </row>
    <row r="2" spans="1:45" x14ac:dyDescent="0.45">
      <c r="A2" t="s">
        <v>339</v>
      </c>
      <c r="B2" t="s">
        <v>320</v>
      </c>
      <c r="C2" t="s">
        <v>358</v>
      </c>
      <c r="D2" s="5">
        <v>45971</v>
      </c>
      <c r="E2" t="s">
        <v>79</v>
      </c>
      <c r="F2">
        <v>0.5</v>
      </c>
      <c r="G2">
        <v>20</v>
      </c>
      <c r="H2" t="s">
        <v>238</v>
      </c>
      <c r="I2" t="str">
        <f>+_xlfn.XLOOKUP($H2,Turni!$A:$A,Turni!C:C)</f>
        <v>10:15</v>
      </c>
      <c r="J2" t="str">
        <f>+_xlfn.XLOOKUP($H2,Turni!$A:$A,Turni!D:D)</f>
        <v>14:15</v>
      </c>
      <c r="AR2" t="s">
        <v>380</v>
      </c>
      <c r="AS2" t="s">
        <v>381</v>
      </c>
    </row>
    <row r="3" spans="1:45" x14ac:dyDescent="0.45">
      <c r="A3" t="s">
        <v>340</v>
      </c>
      <c r="B3" t="s">
        <v>321</v>
      </c>
      <c r="C3" t="s">
        <v>359</v>
      </c>
      <c r="D3" s="5">
        <v>45971</v>
      </c>
      <c r="E3" t="s">
        <v>79</v>
      </c>
      <c r="F3">
        <v>0.5</v>
      </c>
      <c r="G3">
        <v>20</v>
      </c>
      <c r="H3" t="s">
        <v>284</v>
      </c>
      <c r="I3" t="str">
        <f>+_xlfn.XLOOKUP($H3,Turni!$A:$A,Turni!C:C)</f>
        <v>16:00</v>
      </c>
      <c r="J3" t="str">
        <f>+_xlfn.XLOOKUP($H3,Turni!$A:$A,Turni!D:D)</f>
        <v>20:00</v>
      </c>
      <c r="AR3" t="s">
        <v>380</v>
      </c>
      <c r="AS3" t="s">
        <v>381</v>
      </c>
    </row>
    <row r="4" spans="1:45" x14ac:dyDescent="0.45">
      <c r="A4" t="s">
        <v>341</v>
      </c>
      <c r="B4" t="s">
        <v>322</v>
      </c>
      <c r="C4" t="s">
        <v>360</v>
      </c>
      <c r="D4" s="5">
        <v>45971</v>
      </c>
      <c r="E4" t="s">
        <v>79</v>
      </c>
      <c r="F4">
        <v>0.5</v>
      </c>
      <c r="G4">
        <v>20</v>
      </c>
      <c r="H4" t="s">
        <v>280</v>
      </c>
      <c r="I4" t="str">
        <f>+_xlfn.XLOOKUP($H4,Turni!$A:$A,Turni!C:C)</f>
        <v>15:00</v>
      </c>
      <c r="J4" t="str">
        <f>+_xlfn.XLOOKUP($H4,Turni!$A:$A,Turni!D:D)</f>
        <v>19:00</v>
      </c>
      <c r="AR4" t="s">
        <v>380</v>
      </c>
      <c r="AS4" t="s">
        <v>381</v>
      </c>
    </row>
    <row r="5" spans="1:45" x14ac:dyDescent="0.45">
      <c r="A5" t="s">
        <v>342</v>
      </c>
      <c r="B5" t="s">
        <v>323</v>
      </c>
      <c r="C5" t="s">
        <v>361</v>
      </c>
      <c r="D5" s="5">
        <v>45971</v>
      </c>
      <c r="E5" t="s">
        <v>79</v>
      </c>
      <c r="F5">
        <v>0.5</v>
      </c>
      <c r="G5">
        <v>20</v>
      </c>
      <c r="H5" t="s">
        <v>378</v>
      </c>
      <c r="I5">
        <f>+_xlfn.XLOOKUP($H5,Turni!$A:$A,Turni!C:C)</f>
        <v>0</v>
      </c>
      <c r="J5">
        <f>+_xlfn.XLOOKUP($H5,Turni!$A:$A,Turni!D:D)</f>
        <v>0</v>
      </c>
      <c r="AR5" t="s">
        <v>380</v>
      </c>
      <c r="AS5" t="s">
        <v>381</v>
      </c>
    </row>
    <row r="6" spans="1:45" x14ac:dyDescent="0.45">
      <c r="A6" t="s">
        <v>343</v>
      </c>
      <c r="B6" t="s">
        <v>324</v>
      </c>
      <c r="C6" t="s">
        <v>362</v>
      </c>
      <c r="D6" s="5">
        <v>45971</v>
      </c>
      <c r="E6" t="s">
        <v>79</v>
      </c>
      <c r="F6">
        <v>0.5</v>
      </c>
      <c r="G6">
        <v>20</v>
      </c>
      <c r="H6" t="s">
        <v>378</v>
      </c>
      <c r="I6">
        <f>+_xlfn.XLOOKUP($H6,Turni!$A:$A,Turni!C:C)</f>
        <v>0</v>
      </c>
      <c r="J6">
        <f>+_xlfn.XLOOKUP($H6,Turni!$A:$A,Turni!D:D)</f>
        <v>0</v>
      </c>
      <c r="AR6" t="s">
        <v>380</v>
      </c>
      <c r="AS6" t="s">
        <v>381</v>
      </c>
    </row>
    <row r="7" spans="1:45" x14ac:dyDescent="0.45">
      <c r="A7" t="s">
        <v>344</v>
      </c>
      <c r="B7" t="s">
        <v>325</v>
      </c>
      <c r="C7" t="s">
        <v>363</v>
      </c>
      <c r="D7" s="5">
        <v>45971</v>
      </c>
      <c r="E7" t="s">
        <v>79</v>
      </c>
      <c r="F7">
        <v>0.5</v>
      </c>
      <c r="G7">
        <v>20</v>
      </c>
      <c r="H7" t="s">
        <v>280</v>
      </c>
      <c r="I7" t="str">
        <f>+_xlfn.XLOOKUP($H7,Turni!$A:$A,Turni!C:C)</f>
        <v>15:00</v>
      </c>
      <c r="J7" t="str">
        <f>+_xlfn.XLOOKUP($H7,Turni!$A:$A,Turni!D:D)</f>
        <v>19:00</v>
      </c>
      <c r="AR7" t="s">
        <v>380</v>
      </c>
      <c r="AS7" t="s">
        <v>381</v>
      </c>
    </row>
    <row r="8" spans="1:45" x14ac:dyDescent="0.45">
      <c r="A8" t="s">
        <v>345</v>
      </c>
      <c r="B8" t="s">
        <v>326</v>
      </c>
      <c r="C8" t="s">
        <v>364</v>
      </c>
      <c r="D8" s="5">
        <v>45971</v>
      </c>
      <c r="E8" t="s">
        <v>79</v>
      </c>
      <c r="F8">
        <v>0.5</v>
      </c>
      <c r="G8">
        <v>20</v>
      </c>
      <c r="H8" t="s">
        <v>243</v>
      </c>
      <c r="I8" t="str">
        <f>+_xlfn.XLOOKUP($H8,Turni!$A:$A,Turni!C:C)</f>
        <v>10:45</v>
      </c>
      <c r="J8" t="str">
        <f>+_xlfn.XLOOKUP($H8,Turni!$A:$A,Turni!D:D)</f>
        <v>14:45</v>
      </c>
      <c r="AR8" t="s">
        <v>380</v>
      </c>
      <c r="AS8" t="s">
        <v>381</v>
      </c>
    </row>
    <row r="9" spans="1:45" x14ac:dyDescent="0.45">
      <c r="A9" t="s">
        <v>341</v>
      </c>
      <c r="B9" t="s">
        <v>326</v>
      </c>
      <c r="C9" t="s">
        <v>365</v>
      </c>
      <c r="D9" s="5">
        <v>45971</v>
      </c>
      <c r="E9" t="s">
        <v>79</v>
      </c>
      <c r="F9">
        <v>0.5</v>
      </c>
      <c r="G9">
        <v>20</v>
      </c>
      <c r="H9" t="s">
        <v>238</v>
      </c>
      <c r="I9" t="str">
        <f>+_xlfn.XLOOKUP($H9,Turni!$A:$A,Turni!C:C)</f>
        <v>10:15</v>
      </c>
      <c r="J9" t="str">
        <f>+_xlfn.XLOOKUP($H9,Turni!$A:$A,Turni!D:D)</f>
        <v>14:15</v>
      </c>
      <c r="AR9" t="s">
        <v>380</v>
      </c>
      <c r="AS9" t="s">
        <v>381</v>
      </c>
    </row>
    <row r="10" spans="1:45" x14ac:dyDescent="0.45">
      <c r="A10" t="s">
        <v>346</v>
      </c>
      <c r="B10" t="s">
        <v>327</v>
      </c>
      <c r="C10" t="s">
        <v>366</v>
      </c>
      <c r="D10" s="5">
        <v>45971</v>
      </c>
      <c r="E10" t="s">
        <v>79</v>
      </c>
      <c r="F10">
        <v>0.5</v>
      </c>
      <c r="G10">
        <v>20</v>
      </c>
      <c r="H10" t="s">
        <v>283</v>
      </c>
      <c r="I10" t="str">
        <f>+_xlfn.XLOOKUP($H10,Turni!$A:$A,Turni!C:C)</f>
        <v>15:45</v>
      </c>
      <c r="J10" t="str">
        <f>+_xlfn.XLOOKUP($H10,Turni!$A:$A,Turni!D:D)</f>
        <v>19:45</v>
      </c>
      <c r="AR10" t="s">
        <v>380</v>
      </c>
      <c r="AS10" t="s">
        <v>381</v>
      </c>
    </row>
    <row r="11" spans="1:45" x14ac:dyDescent="0.45">
      <c r="A11" t="s">
        <v>347</v>
      </c>
      <c r="B11" t="s">
        <v>328</v>
      </c>
      <c r="C11" t="s">
        <v>367</v>
      </c>
      <c r="D11" s="5">
        <v>45971</v>
      </c>
      <c r="E11" t="s">
        <v>79</v>
      </c>
      <c r="F11">
        <v>0.5</v>
      </c>
      <c r="G11">
        <v>20</v>
      </c>
      <c r="H11" t="s">
        <v>280</v>
      </c>
      <c r="I11" t="str">
        <f>+_xlfn.XLOOKUP($H11,Turni!$A:$A,Turni!C:C)</f>
        <v>15:00</v>
      </c>
      <c r="J11" t="str">
        <f>+_xlfn.XLOOKUP($H11,Turni!$A:$A,Turni!D:D)</f>
        <v>19:00</v>
      </c>
      <c r="AR11" t="s">
        <v>380</v>
      </c>
      <c r="AS11" t="s">
        <v>381</v>
      </c>
    </row>
    <row r="12" spans="1:45" x14ac:dyDescent="0.45">
      <c r="A12" t="s">
        <v>348</v>
      </c>
      <c r="B12" t="s">
        <v>329</v>
      </c>
      <c r="C12" t="s">
        <v>368</v>
      </c>
      <c r="D12" s="5">
        <v>45971</v>
      </c>
      <c r="E12" t="s">
        <v>79</v>
      </c>
      <c r="F12">
        <v>0.5</v>
      </c>
      <c r="G12">
        <v>20</v>
      </c>
      <c r="H12" t="s">
        <v>280</v>
      </c>
      <c r="I12" t="str">
        <f>+_xlfn.XLOOKUP($H12,Turni!$A:$A,Turni!C:C)</f>
        <v>15:00</v>
      </c>
      <c r="J12" t="str">
        <f>+_xlfn.XLOOKUP($H12,Turni!$A:$A,Turni!D:D)</f>
        <v>19:00</v>
      </c>
      <c r="AR12" t="s">
        <v>380</v>
      </c>
      <c r="AS12" t="s">
        <v>381</v>
      </c>
    </row>
    <row r="13" spans="1:45" x14ac:dyDescent="0.45">
      <c r="A13" t="s">
        <v>349</v>
      </c>
      <c r="B13" t="s">
        <v>330</v>
      </c>
      <c r="C13" t="s">
        <v>369</v>
      </c>
      <c r="D13" s="5">
        <v>45971</v>
      </c>
      <c r="E13" t="s">
        <v>79</v>
      </c>
      <c r="F13">
        <v>0.5</v>
      </c>
      <c r="G13">
        <v>20</v>
      </c>
      <c r="H13" t="s">
        <v>280</v>
      </c>
      <c r="I13" t="str">
        <f>+_xlfn.XLOOKUP($H13,Turni!$A:$A,Turni!C:C)</f>
        <v>15:00</v>
      </c>
      <c r="J13" t="str">
        <f>+_xlfn.XLOOKUP($H13,Turni!$A:$A,Turni!D:D)</f>
        <v>19:00</v>
      </c>
      <c r="AR13" t="s">
        <v>380</v>
      </c>
      <c r="AS13" t="s">
        <v>381</v>
      </c>
    </row>
    <row r="14" spans="1:45" x14ac:dyDescent="0.45">
      <c r="A14" t="s">
        <v>350</v>
      </c>
      <c r="B14" t="s">
        <v>331</v>
      </c>
      <c r="C14" t="s">
        <v>370</v>
      </c>
      <c r="D14" s="5">
        <v>45971</v>
      </c>
      <c r="E14" t="s">
        <v>79</v>
      </c>
      <c r="F14">
        <v>0.5</v>
      </c>
      <c r="G14">
        <v>20</v>
      </c>
      <c r="H14" t="s">
        <v>225</v>
      </c>
      <c r="I14" t="str">
        <f>+_xlfn.XLOOKUP($H14,Turni!$A:$A,Turni!C:C)</f>
        <v>09:00</v>
      </c>
      <c r="J14" t="str">
        <f>+_xlfn.XLOOKUP($H14,Turni!$A:$A,Turni!D:D)</f>
        <v>13:00</v>
      </c>
      <c r="AR14" t="s">
        <v>380</v>
      </c>
      <c r="AS14" t="s">
        <v>381</v>
      </c>
    </row>
    <row r="15" spans="1:45" x14ac:dyDescent="0.45">
      <c r="A15" t="s">
        <v>351</v>
      </c>
      <c r="B15" t="s">
        <v>332</v>
      </c>
      <c r="C15" t="s">
        <v>371</v>
      </c>
      <c r="D15" s="5">
        <v>45971</v>
      </c>
      <c r="E15" t="s">
        <v>79</v>
      </c>
      <c r="F15">
        <v>0.5</v>
      </c>
      <c r="G15">
        <v>20</v>
      </c>
      <c r="H15" t="s">
        <v>285</v>
      </c>
      <c r="I15" t="str">
        <f>+_xlfn.XLOOKUP($H15,Turni!$A:$A,Turni!C:C)</f>
        <v>16:30</v>
      </c>
      <c r="J15" t="str">
        <f>+_xlfn.XLOOKUP($H15,Turni!$A:$A,Turni!D:D)</f>
        <v>20:30</v>
      </c>
      <c r="AR15" t="s">
        <v>380</v>
      </c>
      <c r="AS15" t="s">
        <v>381</v>
      </c>
    </row>
    <row r="16" spans="1:45" x14ac:dyDescent="0.45">
      <c r="A16" t="s">
        <v>352</v>
      </c>
      <c r="B16" t="s">
        <v>333</v>
      </c>
      <c r="C16" t="s">
        <v>372</v>
      </c>
      <c r="D16" s="5">
        <v>45971</v>
      </c>
      <c r="E16" t="s">
        <v>79</v>
      </c>
      <c r="F16">
        <v>0.5</v>
      </c>
      <c r="G16">
        <v>20</v>
      </c>
      <c r="H16" t="s">
        <v>290</v>
      </c>
      <c r="I16" t="str">
        <f>+_xlfn.XLOOKUP($H16,Turni!$A:$A,Turni!C:C)</f>
        <v>16:45</v>
      </c>
      <c r="J16" t="str">
        <f>+_xlfn.XLOOKUP($H16,Turni!$A:$A,Turni!D:D)</f>
        <v>20:45</v>
      </c>
      <c r="AR16" t="s">
        <v>380</v>
      </c>
      <c r="AS16" t="s">
        <v>381</v>
      </c>
    </row>
    <row r="17" spans="1:45" x14ac:dyDescent="0.45">
      <c r="A17" t="s">
        <v>353</v>
      </c>
      <c r="B17" t="s">
        <v>334</v>
      </c>
      <c r="C17" t="s">
        <v>373</v>
      </c>
      <c r="D17" s="5">
        <v>45971</v>
      </c>
      <c r="E17" t="s">
        <v>79</v>
      </c>
      <c r="F17">
        <v>0.5</v>
      </c>
      <c r="G17">
        <v>20</v>
      </c>
      <c r="H17" t="s">
        <v>280</v>
      </c>
      <c r="I17" t="str">
        <f>+_xlfn.XLOOKUP($H17,Turni!$A:$A,Turni!C:C)</f>
        <v>15:00</v>
      </c>
      <c r="J17" t="str">
        <f>+_xlfn.XLOOKUP($H17,Turni!$A:$A,Turni!D:D)</f>
        <v>19:00</v>
      </c>
      <c r="AR17" t="s">
        <v>380</v>
      </c>
      <c r="AS17" t="s">
        <v>381</v>
      </c>
    </row>
    <row r="18" spans="1:45" x14ac:dyDescent="0.45">
      <c r="A18" t="s">
        <v>354</v>
      </c>
      <c r="B18" t="s">
        <v>335</v>
      </c>
      <c r="C18" t="s">
        <v>374</v>
      </c>
      <c r="D18" s="5">
        <v>45971</v>
      </c>
      <c r="E18" t="s">
        <v>79</v>
      </c>
      <c r="F18">
        <v>0.5</v>
      </c>
      <c r="G18">
        <v>20</v>
      </c>
      <c r="H18" t="s">
        <v>378</v>
      </c>
      <c r="I18">
        <f>+_xlfn.XLOOKUP($H18,Turni!$A:$A,Turni!C:C)</f>
        <v>0</v>
      </c>
      <c r="J18">
        <f>+_xlfn.XLOOKUP($H18,Turni!$A:$A,Turni!D:D)</f>
        <v>0</v>
      </c>
      <c r="AR18" t="s">
        <v>380</v>
      </c>
      <c r="AS18" t="s">
        <v>381</v>
      </c>
    </row>
    <row r="19" spans="1:45" x14ac:dyDescent="0.45">
      <c r="A19" t="s">
        <v>355</v>
      </c>
      <c r="B19" t="s">
        <v>336</v>
      </c>
      <c r="C19" t="s">
        <v>375</v>
      </c>
      <c r="D19" s="5">
        <v>45971</v>
      </c>
      <c r="E19" t="s">
        <v>79</v>
      </c>
      <c r="F19">
        <v>0.5</v>
      </c>
      <c r="G19">
        <v>20</v>
      </c>
      <c r="H19" t="s">
        <v>378</v>
      </c>
      <c r="I19">
        <f>+_xlfn.XLOOKUP($H19,Turni!$A:$A,Turni!C:C)</f>
        <v>0</v>
      </c>
      <c r="J19">
        <f>+_xlfn.XLOOKUP($H19,Turni!$A:$A,Turni!D:D)</f>
        <v>0</v>
      </c>
      <c r="AR19" t="s">
        <v>380</v>
      </c>
      <c r="AS19" t="s">
        <v>381</v>
      </c>
    </row>
    <row r="20" spans="1:45" x14ac:dyDescent="0.45">
      <c r="A20" t="s">
        <v>356</v>
      </c>
      <c r="B20" t="s">
        <v>337</v>
      </c>
      <c r="C20" t="s">
        <v>376</v>
      </c>
      <c r="D20" s="5">
        <v>45971</v>
      </c>
      <c r="E20" t="s">
        <v>79</v>
      </c>
      <c r="F20">
        <v>0.5</v>
      </c>
      <c r="G20">
        <v>20</v>
      </c>
      <c r="H20" t="s">
        <v>285</v>
      </c>
      <c r="I20" t="str">
        <f>+_xlfn.XLOOKUP($H20,Turni!$A:$A,Turni!C:C)</f>
        <v>16:30</v>
      </c>
      <c r="J20" t="str">
        <f>+_xlfn.XLOOKUP($H20,Turni!$A:$A,Turni!D:D)</f>
        <v>20:30</v>
      </c>
      <c r="AR20" t="s">
        <v>380</v>
      </c>
      <c r="AS20" t="s">
        <v>381</v>
      </c>
    </row>
    <row r="21" spans="1:45" x14ac:dyDescent="0.45">
      <c r="A21" t="s">
        <v>357</v>
      </c>
      <c r="B21" t="s">
        <v>338</v>
      </c>
      <c r="C21" t="s">
        <v>377</v>
      </c>
      <c r="D21" s="5">
        <v>45971</v>
      </c>
      <c r="E21" t="s">
        <v>79</v>
      </c>
      <c r="F21">
        <v>0.5</v>
      </c>
      <c r="G21">
        <v>20</v>
      </c>
      <c r="H21" t="s">
        <v>233</v>
      </c>
      <c r="I21" t="str">
        <f>+_xlfn.XLOOKUP($H21,Turni!$A:$A,Turni!C:C)</f>
        <v>09:45</v>
      </c>
      <c r="J21" t="str">
        <f>+_xlfn.XLOOKUP($H21,Turni!$A:$A,Turni!D:D)</f>
        <v>13:45</v>
      </c>
      <c r="AR21" t="s">
        <v>380</v>
      </c>
      <c r="AS21" t="s">
        <v>381</v>
      </c>
    </row>
    <row r="22" spans="1:45" x14ac:dyDescent="0.45">
      <c r="A22" t="s">
        <v>339</v>
      </c>
      <c r="B22" t="s">
        <v>320</v>
      </c>
      <c r="C22" t="s">
        <v>358</v>
      </c>
      <c r="D22" s="5">
        <f>+D2+1</f>
        <v>45972</v>
      </c>
      <c r="E22" t="s">
        <v>79</v>
      </c>
      <c r="F22">
        <v>0.5</v>
      </c>
      <c r="G22">
        <v>20</v>
      </c>
      <c r="H22" t="s">
        <v>378</v>
      </c>
      <c r="I22">
        <f>+_xlfn.XLOOKUP($H22,Turni!$A:$A,Turni!C:C)</f>
        <v>0</v>
      </c>
      <c r="J22">
        <f>+_xlfn.XLOOKUP($H22,Turni!$A:$A,Turni!D:D)</f>
        <v>0</v>
      </c>
      <c r="AR22" t="s">
        <v>380</v>
      </c>
      <c r="AS22" t="s">
        <v>381</v>
      </c>
    </row>
    <row r="23" spans="1:45" x14ac:dyDescent="0.45">
      <c r="A23" t="s">
        <v>340</v>
      </c>
      <c r="B23" t="s">
        <v>321</v>
      </c>
      <c r="C23" t="s">
        <v>359</v>
      </c>
      <c r="D23" s="5">
        <f t="shared" ref="D23:D86" si="0">+D3+1</f>
        <v>45972</v>
      </c>
      <c r="E23" t="s">
        <v>79</v>
      </c>
      <c r="F23">
        <v>0.5</v>
      </c>
      <c r="G23">
        <v>20</v>
      </c>
      <c r="H23" t="s">
        <v>284</v>
      </c>
      <c r="I23" t="str">
        <f>+_xlfn.XLOOKUP($H23,Turni!$A:$A,Turni!C:C)</f>
        <v>16:00</v>
      </c>
      <c r="J23" t="str">
        <f>+_xlfn.XLOOKUP($H23,Turni!$A:$A,Turni!D:D)</f>
        <v>20:00</v>
      </c>
      <c r="AR23" t="s">
        <v>380</v>
      </c>
      <c r="AS23" t="s">
        <v>381</v>
      </c>
    </row>
    <row r="24" spans="1:45" x14ac:dyDescent="0.45">
      <c r="A24" t="s">
        <v>341</v>
      </c>
      <c r="B24" t="s">
        <v>322</v>
      </c>
      <c r="C24" t="s">
        <v>360</v>
      </c>
      <c r="D24" s="5">
        <f t="shared" si="0"/>
        <v>45972</v>
      </c>
      <c r="E24" t="s">
        <v>79</v>
      </c>
      <c r="F24">
        <v>0.5</v>
      </c>
      <c r="G24">
        <v>20</v>
      </c>
      <c r="H24" t="s">
        <v>280</v>
      </c>
      <c r="I24" t="str">
        <f>+_xlfn.XLOOKUP($H24,Turni!$A:$A,Turni!C:C)</f>
        <v>15:00</v>
      </c>
      <c r="J24" t="str">
        <f>+_xlfn.XLOOKUP($H24,Turni!$A:$A,Turni!D:D)</f>
        <v>19:00</v>
      </c>
      <c r="AR24" t="s">
        <v>380</v>
      </c>
      <c r="AS24" t="s">
        <v>381</v>
      </c>
    </row>
    <row r="25" spans="1:45" x14ac:dyDescent="0.45">
      <c r="A25" t="s">
        <v>342</v>
      </c>
      <c r="B25" t="s">
        <v>323</v>
      </c>
      <c r="C25" t="s">
        <v>361</v>
      </c>
      <c r="D25" s="5">
        <f t="shared" si="0"/>
        <v>45972</v>
      </c>
      <c r="E25" t="s">
        <v>79</v>
      </c>
      <c r="F25">
        <v>0.5</v>
      </c>
      <c r="G25">
        <v>20</v>
      </c>
      <c r="H25" t="s">
        <v>233</v>
      </c>
      <c r="I25" t="str">
        <f>+_xlfn.XLOOKUP($H25,Turni!$A:$A,Turni!C:C)</f>
        <v>09:45</v>
      </c>
      <c r="J25" t="str">
        <f>+_xlfn.XLOOKUP($H25,Turni!$A:$A,Turni!D:D)</f>
        <v>13:45</v>
      </c>
      <c r="AR25" t="s">
        <v>380</v>
      </c>
      <c r="AS25" t="s">
        <v>381</v>
      </c>
    </row>
    <row r="26" spans="1:45" x14ac:dyDescent="0.45">
      <c r="A26" t="s">
        <v>343</v>
      </c>
      <c r="B26" t="s">
        <v>324</v>
      </c>
      <c r="C26" t="s">
        <v>362</v>
      </c>
      <c r="D26" s="5">
        <f t="shared" si="0"/>
        <v>45972</v>
      </c>
      <c r="E26" t="s">
        <v>79</v>
      </c>
      <c r="F26">
        <v>0.5</v>
      </c>
      <c r="G26">
        <v>20</v>
      </c>
      <c r="H26" t="s">
        <v>280</v>
      </c>
      <c r="I26" t="str">
        <f>+_xlfn.XLOOKUP($H26,Turni!$A:$A,Turni!C:C)</f>
        <v>15:00</v>
      </c>
      <c r="J26" t="str">
        <f>+_xlfn.XLOOKUP($H26,Turni!$A:$A,Turni!D:D)</f>
        <v>19:00</v>
      </c>
      <c r="AR26" t="s">
        <v>380</v>
      </c>
      <c r="AS26" t="s">
        <v>381</v>
      </c>
    </row>
    <row r="27" spans="1:45" x14ac:dyDescent="0.45">
      <c r="A27" t="s">
        <v>344</v>
      </c>
      <c r="B27" t="s">
        <v>325</v>
      </c>
      <c r="C27" t="s">
        <v>363</v>
      </c>
      <c r="D27" s="5">
        <f t="shared" si="0"/>
        <v>45972</v>
      </c>
      <c r="E27" t="s">
        <v>79</v>
      </c>
      <c r="F27">
        <v>0.5</v>
      </c>
      <c r="G27">
        <v>20</v>
      </c>
      <c r="H27" t="s">
        <v>295</v>
      </c>
      <c r="I27" t="str">
        <f>+_xlfn.XLOOKUP($H27,Turni!$A:$A,Turni!C:C)</f>
        <v>16:15</v>
      </c>
      <c r="J27" t="str">
        <f>+_xlfn.XLOOKUP($H27,Turni!$A:$A,Turni!D:D)</f>
        <v>20:15</v>
      </c>
      <c r="AR27" t="s">
        <v>380</v>
      </c>
      <c r="AS27" t="s">
        <v>381</v>
      </c>
    </row>
    <row r="28" spans="1:45" x14ac:dyDescent="0.45">
      <c r="A28" t="s">
        <v>345</v>
      </c>
      <c r="B28" t="s">
        <v>326</v>
      </c>
      <c r="C28" t="s">
        <v>364</v>
      </c>
      <c r="D28" s="5">
        <f t="shared" si="0"/>
        <v>45972</v>
      </c>
      <c r="E28" t="s">
        <v>79</v>
      </c>
      <c r="F28">
        <v>0.5</v>
      </c>
      <c r="G28">
        <v>20</v>
      </c>
      <c r="H28" t="s">
        <v>240</v>
      </c>
      <c r="I28" t="str">
        <f>+_xlfn.XLOOKUP($H28,Turni!$A:$A,Turni!C:C)</f>
        <v>10:30</v>
      </c>
      <c r="J28" t="str">
        <f>+_xlfn.XLOOKUP($H28,Turni!$A:$A,Turni!D:D)</f>
        <v>14:30</v>
      </c>
      <c r="AR28" t="s">
        <v>380</v>
      </c>
      <c r="AS28" t="s">
        <v>381</v>
      </c>
    </row>
    <row r="29" spans="1:45" x14ac:dyDescent="0.45">
      <c r="A29" t="s">
        <v>341</v>
      </c>
      <c r="B29" t="s">
        <v>326</v>
      </c>
      <c r="C29" t="s">
        <v>365</v>
      </c>
      <c r="D29" s="5">
        <f t="shared" si="0"/>
        <v>45972</v>
      </c>
      <c r="E29" t="s">
        <v>79</v>
      </c>
      <c r="F29">
        <v>0.5</v>
      </c>
      <c r="G29">
        <v>20</v>
      </c>
      <c r="H29" t="s">
        <v>235</v>
      </c>
      <c r="I29" t="str">
        <f>+_xlfn.XLOOKUP($H29,Turni!$A:$A,Turni!C:C)</f>
        <v>10:00</v>
      </c>
      <c r="J29" t="str">
        <f>+_xlfn.XLOOKUP($H29,Turni!$A:$A,Turni!D:D)</f>
        <v>14:00</v>
      </c>
      <c r="AR29" t="s">
        <v>380</v>
      </c>
      <c r="AS29" t="s">
        <v>381</v>
      </c>
    </row>
    <row r="30" spans="1:45" x14ac:dyDescent="0.45">
      <c r="A30" t="s">
        <v>346</v>
      </c>
      <c r="B30" t="s">
        <v>327</v>
      </c>
      <c r="C30" t="s">
        <v>366</v>
      </c>
      <c r="D30" s="5">
        <f t="shared" si="0"/>
        <v>45972</v>
      </c>
      <c r="E30" t="s">
        <v>79</v>
      </c>
      <c r="F30">
        <v>0.5</v>
      </c>
      <c r="G30">
        <v>20</v>
      </c>
      <c r="H30" t="s">
        <v>378</v>
      </c>
      <c r="I30">
        <f>+_xlfn.XLOOKUP($H30,Turni!$A:$A,Turni!C:C)</f>
        <v>0</v>
      </c>
      <c r="J30">
        <f>+_xlfn.XLOOKUP($H30,Turni!$A:$A,Turni!D:D)</f>
        <v>0</v>
      </c>
      <c r="AR30" t="s">
        <v>380</v>
      </c>
      <c r="AS30" t="s">
        <v>381</v>
      </c>
    </row>
    <row r="31" spans="1:45" x14ac:dyDescent="0.45">
      <c r="A31" t="s">
        <v>347</v>
      </c>
      <c r="B31" t="s">
        <v>328</v>
      </c>
      <c r="C31" t="s">
        <v>367</v>
      </c>
      <c r="D31" s="5">
        <f t="shared" si="0"/>
        <v>45972</v>
      </c>
      <c r="E31" t="s">
        <v>79</v>
      </c>
      <c r="F31">
        <v>0.5</v>
      </c>
      <c r="G31">
        <v>20</v>
      </c>
      <c r="H31" t="s">
        <v>295</v>
      </c>
      <c r="I31" t="str">
        <f>+_xlfn.XLOOKUP($H31,Turni!$A:$A,Turni!C:C)</f>
        <v>16:15</v>
      </c>
      <c r="J31" t="str">
        <f>+_xlfn.XLOOKUP($H31,Turni!$A:$A,Turni!D:D)</f>
        <v>20:15</v>
      </c>
      <c r="AR31" t="s">
        <v>380</v>
      </c>
      <c r="AS31" t="s">
        <v>381</v>
      </c>
    </row>
    <row r="32" spans="1:45" x14ac:dyDescent="0.45">
      <c r="A32" t="s">
        <v>348</v>
      </c>
      <c r="B32" t="s">
        <v>329</v>
      </c>
      <c r="C32" t="s">
        <v>368</v>
      </c>
      <c r="D32" s="5">
        <f t="shared" si="0"/>
        <v>45972</v>
      </c>
      <c r="E32" t="s">
        <v>79</v>
      </c>
      <c r="F32">
        <v>0.5</v>
      </c>
      <c r="G32">
        <v>20</v>
      </c>
      <c r="H32" t="s">
        <v>280</v>
      </c>
      <c r="I32" t="str">
        <f>+_xlfn.XLOOKUP($H32,Turni!$A:$A,Turni!C:C)</f>
        <v>15:00</v>
      </c>
      <c r="J32" t="str">
        <f>+_xlfn.XLOOKUP($H32,Turni!$A:$A,Turni!D:D)</f>
        <v>19:00</v>
      </c>
      <c r="AR32" t="s">
        <v>380</v>
      </c>
      <c r="AS32" t="s">
        <v>381</v>
      </c>
    </row>
    <row r="33" spans="1:45" x14ac:dyDescent="0.45">
      <c r="A33" t="s">
        <v>349</v>
      </c>
      <c r="B33" t="s">
        <v>330</v>
      </c>
      <c r="C33" t="s">
        <v>369</v>
      </c>
      <c r="D33" s="5">
        <f t="shared" si="0"/>
        <v>45972</v>
      </c>
      <c r="E33" t="s">
        <v>79</v>
      </c>
      <c r="F33">
        <v>0.5</v>
      </c>
      <c r="G33">
        <v>20</v>
      </c>
      <c r="H33" t="s">
        <v>280</v>
      </c>
      <c r="I33" t="str">
        <f>+_xlfn.XLOOKUP($H33,Turni!$A:$A,Turni!C:C)</f>
        <v>15:00</v>
      </c>
      <c r="J33" t="str">
        <f>+_xlfn.XLOOKUP($H33,Turni!$A:$A,Turni!D:D)</f>
        <v>19:00</v>
      </c>
      <c r="AR33" t="s">
        <v>380</v>
      </c>
      <c r="AS33" t="s">
        <v>381</v>
      </c>
    </row>
    <row r="34" spans="1:45" x14ac:dyDescent="0.45">
      <c r="A34" t="s">
        <v>350</v>
      </c>
      <c r="B34" t="s">
        <v>331</v>
      </c>
      <c r="C34" t="s">
        <v>370</v>
      </c>
      <c r="D34" s="5">
        <f t="shared" si="0"/>
        <v>45972</v>
      </c>
      <c r="E34" t="s">
        <v>79</v>
      </c>
      <c r="F34">
        <v>0.5</v>
      </c>
      <c r="G34">
        <v>20</v>
      </c>
      <c r="H34" t="s">
        <v>225</v>
      </c>
      <c r="I34" t="str">
        <f>+_xlfn.XLOOKUP($H34,Turni!$A:$A,Turni!C:C)</f>
        <v>09:00</v>
      </c>
      <c r="J34" t="str">
        <f>+_xlfn.XLOOKUP($H34,Turni!$A:$A,Turni!D:D)</f>
        <v>13:00</v>
      </c>
      <c r="AR34" t="s">
        <v>380</v>
      </c>
      <c r="AS34" t="s">
        <v>381</v>
      </c>
    </row>
    <row r="35" spans="1:45" x14ac:dyDescent="0.45">
      <c r="A35" t="s">
        <v>351</v>
      </c>
      <c r="B35" t="s">
        <v>332</v>
      </c>
      <c r="C35" t="s">
        <v>371</v>
      </c>
      <c r="D35" s="5">
        <f t="shared" si="0"/>
        <v>45972</v>
      </c>
      <c r="E35" t="s">
        <v>79</v>
      </c>
      <c r="F35">
        <v>0.5</v>
      </c>
      <c r="G35">
        <v>20</v>
      </c>
      <c r="H35" t="s">
        <v>287</v>
      </c>
      <c r="I35" t="str">
        <f>+_xlfn.XLOOKUP($H35,Turni!$A:$A,Turni!C:C)</f>
        <v>15:15</v>
      </c>
      <c r="J35" t="str">
        <f>+_xlfn.XLOOKUP($H35,Turni!$A:$A,Turni!D:D)</f>
        <v>19:15</v>
      </c>
      <c r="AR35" t="s">
        <v>380</v>
      </c>
      <c r="AS35" t="s">
        <v>381</v>
      </c>
    </row>
    <row r="36" spans="1:45" x14ac:dyDescent="0.45">
      <c r="A36" t="s">
        <v>352</v>
      </c>
      <c r="B36" t="s">
        <v>333</v>
      </c>
      <c r="C36" t="s">
        <v>372</v>
      </c>
      <c r="D36" s="5">
        <f t="shared" si="0"/>
        <v>45972</v>
      </c>
      <c r="E36" t="s">
        <v>79</v>
      </c>
      <c r="F36">
        <v>0.5</v>
      </c>
      <c r="G36">
        <v>20</v>
      </c>
      <c r="H36" t="s">
        <v>280</v>
      </c>
      <c r="I36" t="str">
        <f>+_xlfn.XLOOKUP($H36,Turni!$A:$A,Turni!C:C)</f>
        <v>15:00</v>
      </c>
      <c r="J36" t="str">
        <f>+_xlfn.XLOOKUP($H36,Turni!$A:$A,Turni!D:D)</f>
        <v>19:00</v>
      </c>
      <c r="AR36" t="s">
        <v>380</v>
      </c>
      <c r="AS36" t="s">
        <v>381</v>
      </c>
    </row>
    <row r="37" spans="1:45" x14ac:dyDescent="0.45">
      <c r="A37" t="s">
        <v>353</v>
      </c>
      <c r="B37" t="s">
        <v>334</v>
      </c>
      <c r="C37" t="s">
        <v>373</v>
      </c>
      <c r="D37" s="5">
        <f t="shared" si="0"/>
        <v>45972</v>
      </c>
      <c r="E37" t="s">
        <v>79</v>
      </c>
      <c r="F37">
        <v>0.5</v>
      </c>
      <c r="G37">
        <v>20</v>
      </c>
      <c r="H37" t="s">
        <v>290</v>
      </c>
      <c r="I37" t="str">
        <f>+_xlfn.XLOOKUP($H37,Turni!$A:$A,Turni!C:C)</f>
        <v>16:45</v>
      </c>
      <c r="J37" t="str">
        <f>+_xlfn.XLOOKUP($H37,Turni!$A:$A,Turni!D:D)</f>
        <v>20:45</v>
      </c>
      <c r="AR37" t="s">
        <v>380</v>
      </c>
      <c r="AS37" t="s">
        <v>381</v>
      </c>
    </row>
    <row r="38" spans="1:45" x14ac:dyDescent="0.45">
      <c r="A38" t="s">
        <v>354</v>
      </c>
      <c r="B38" t="s">
        <v>335</v>
      </c>
      <c r="C38" t="s">
        <v>374</v>
      </c>
      <c r="D38" s="5">
        <f t="shared" si="0"/>
        <v>45972</v>
      </c>
      <c r="E38" t="s">
        <v>79</v>
      </c>
      <c r="F38">
        <v>0.5</v>
      </c>
      <c r="G38">
        <v>20</v>
      </c>
      <c r="H38" t="s">
        <v>287</v>
      </c>
      <c r="I38" t="str">
        <f>+_xlfn.XLOOKUP($H38,Turni!$A:$A,Turni!C:C)</f>
        <v>15:15</v>
      </c>
      <c r="J38" t="str">
        <f>+_xlfn.XLOOKUP($H38,Turni!$A:$A,Turni!D:D)</f>
        <v>19:15</v>
      </c>
      <c r="AR38" t="s">
        <v>380</v>
      </c>
      <c r="AS38" t="s">
        <v>381</v>
      </c>
    </row>
    <row r="39" spans="1:45" x14ac:dyDescent="0.45">
      <c r="A39" t="s">
        <v>355</v>
      </c>
      <c r="B39" t="s">
        <v>336</v>
      </c>
      <c r="C39" t="s">
        <v>375</v>
      </c>
      <c r="D39" s="5">
        <f t="shared" si="0"/>
        <v>45972</v>
      </c>
      <c r="E39" t="s">
        <v>79</v>
      </c>
      <c r="F39">
        <v>0.5</v>
      </c>
      <c r="G39">
        <v>20</v>
      </c>
      <c r="H39" t="s">
        <v>243</v>
      </c>
      <c r="I39" t="str">
        <f>+_xlfn.XLOOKUP($H39,Turni!$A:$A,Turni!C:C)</f>
        <v>10:45</v>
      </c>
      <c r="J39" t="str">
        <f>+_xlfn.XLOOKUP($H39,Turni!$A:$A,Turni!D:D)</f>
        <v>14:45</v>
      </c>
      <c r="AR39" t="s">
        <v>380</v>
      </c>
      <c r="AS39" t="s">
        <v>381</v>
      </c>
    </row>
    <row r="40" spans="1:45" x14ac:dyDescent="0.45">
      <c r="A40" t="s">
        <v>356</v>
      </c>
      <c r="B40" t="s">
        <v>337</v>
      </c>
      <c r="C40" t="s">
        <v>376</v>
      </c>
      <c r="D40" s="5">
        <f t="shared" si="0"/>
        <v>45972</v>
      </c>
      <c r="E40" t="s">
        <v>79</v>
      </c>
      <c r="F40">
        <v>0.5</v>
      </c>
      <c r="G40">
        <v>20</v>
      </c>
      <c r="H40" t="s">
        <v>378</v>
      </c>
      <c r="I40">
        <f>+_xlfn.XLOOKUP($H40,Turni!$A:$A,Turni!C:C)</f>
        <v>0</v>
      </c>
      <c r="J40">
        <f>+_xlfn.XLOOKUP($H40,Turni!$A:$A,Turni!D:D)</f>
        <v>0</v>
      </c>
      <c r="AR40" t="s">
        <v>380</v>
      </c>
      <c r="AS40" t="s">
        <v>381</v>
      </c>
    </row>
    <row r="41" spans="1:45" x14ac:dyDescent="0.45">
      <c r="A41" t="s">
        <v>357</v>
      </c>
      <c r="B41" t="s">
        <v>338</v>
      </c>
      <c r="C41" t="s">
        <v>377</v>
      </c>
      <c r="D41" s="5">
        <f t="shared" si="0"/>
        <v>45972</v>
      </c>
      <c r="E41" t="s">
        <v>79</v>
      </c>
      <c r="F41">
        <v>0.5</v>
      </c>
      <c r="G41">
        <v>20</v>
      </c>
      <c r="H41" t="s">
        <v>245</v>
      </c>
      <c r="I41" t="str">
        <f>+_xlfn.XLOOKUP($H41,Turni!$A:$A,Turni!C:C)</f>
        <v>11:00</v>
      </c>
      <c r="J41" t="str">
        <f>+_xlfn.XLOOKUP($H41,Turni!$A:$A,Turni!D:D)</f>
        <v>15:00</v>
      </c>
      <c r="AR41" t="s">
        <v>380</v>
      </c>
      <c r="AS41" t="s">
        <v>381</v>
      </c>
    </row>
    <row r="42" spans="1:45" x14ac:dyDescent="0.45">
      <c r="A42" t="s">
        <v>339</v>
      </c>
      <c r="B42" t="s">
        <v>320</v>
      </c>
      <c r="C42" t="s">
        <v>358</v>
      </c>
      <c r="D42" s="5">
        <f t="shared" si="0"/>
        <v>45973</v>
      </c>
      <c r="E42" t="s">
        <v>79</v>
      </c>
      <c r="F42">
        <v>0.5</v>
      </c>
      <c r="G42">
        <v>20</v>
      </c>
      <c r="H42" t="s">
        <v>243</v>
      </c>
      <c r="I42" t="str">
        <f>+_xlfn.XLOOKUP($H42,Turni!$A:$A,Turni!C:C)</f>
        <v>10:45</v>
      </c>
      <c r="J42" t="str">
        <f>+_xlfn.XLOOKUP($H42,Turni!$A:$A,Turni!D:D)</f>
        <v>14:45</v>
      </c>
      <c r="AR42" t="s">
        <v>380</v>
      </c>
      <c r="AS42" t="s">
        <v>381</v>
      </c>
    </row>
    <row r="43" spans="1:45" x14ac:dyDescent="0.45">
      <c r="A43" t="s">
        <v>340</v>
      </c>
      <c r="B43" t="s">
        <v>321</v>
      </c>
      <c r="C43" t="s">
        <v>359</v>
      </c>
      <c r="D43" s="5">
        <f t="shared" si="0"/>
        <v>45973</v>
      </c>
      <c r="E43" t="s">
        <v>79</v>
      </c>
      <c r="F43">
        <v>0.5</v>
      </c>
      <c r="G43">
        <v>20</v>
      </c>
      <c r="H43" t="s">
        <v>284</v>
      </c>
      <c r="I43" t="str">
        <f>+_xlfn.XLOOKUP($H43,Turni!$A:$A,Turni!C:C)</f>
        <v>16:00</v>
      </c>
      <c r="J43" t="str">
        <f>+_xlfn.XLOOKUP($H43,Turni!$A:$A,Turni!D:D)</f>
        <v>20:00</v>
      </c>
      <c r="AR43" t="s">
        <v>380</v>
      </c>
      <c r="AS43" t="s">
        <v>381</v>
      </c>
    </row>
    <row r="44" spans="1:45" x14ac:dyDescent="0.45">
      <c r="A44" t="s">
        <v>341</v>
      </c>
      <c r="B44" t="s">
        <v>322</v>
      </c>
      <c r="C44" t="s">
        <v>360</v>
      </c>
      <c r="D44" s="5">
        <f t="shared" si="0"/>
        <v>45973</v>
      </c>
      <c r="E44" t="s">
        <v>79</v>
      </c>
      <c r="F44">
        <v>0.5</v>
      </c>
      <c r="G44">
        <v>20</v>
      </c>
      <c r="H44" t="s">
        <v>378</v>
      </c>
      <c r="I44">
        <f>+_xlfn.XLOOKUP($H44,Turni!$A:$A,Turni!C:C)</f>
        <v>0</v>
      </c>
      <c r="J44">
        <f>+_xlfn.XLOOKUP($H44,Turni!$A:$A,Turni!D:D)</f>
        <v>0</v>
      </c>
      <c r="AR44" t="s">
        <v>380</v>
      </c>
      <c r="AS44" t="s">
        <v>381</v>
      </c>
    </row>
    <row r="45" spans="1:45" x14ac:dyDescent="0.45">
      <c r="A45" t="s">
        <v>342</v>
      </c>
      <c r="B45" t="s">
        <v>323</v>
      </c>
      <c r="C45" t="s">
        <v>361</v>
      </c>
      <c r="D45" s="5">
        <f t="shared" si="0"/>
        <v>45973</v>
      </c>
      <c r="E45" t="s">
        <v>79</v>
      </c>
      <c r="F45">
        <v>0.5</v>
      </c>
      <c r="G45">
        <v>20</v>
      </c>
      <c r="H45" t="s">
        <v>233</v>
      </c>
      <c r="I45" t="str">
        <f>+_xlfn.XLOOKUP($H45,Turni!$A:$A,Turni!C:C)</f>
        <v>09:45</v>
      </c>
      <c r="J45" t="str">
        <f>+_xlfn.XLOOKUP($H45,Turni!$A:$A,Turni!D:D)</f>
        <v>13:45</v>
      </c>
      <c r="AR45" t="s">
        <v>380</v>
      </c>
      <c r="AS45" t="s">
        <v>381</v>
      </c>
    </row>
    <row r="46" spans="1:45" x14ac:dyDescent="0.45">
      <c r="A46" t="s">
        <v>343</v>
      </c>
      <c r="B46" t="s">
        <v>324</v>
      </c>
      <c r="C46" t="s">
        <v>362</v>
      </c>
      <c r="D46" s="5">
        <f t="shared" si="0"/>
        <v>45973</v>
      </c>
      <c r="E46" t="s">
        <v>79</v>
      </c>
      <c r="F46">
        <v>0.5</v>
      </c>
      <c r="G46">
        <v>20</v>
      </c>
      <c r="H46" t="s">
        <v>280</v>
      </c>
      <c r="I46" t="str">
        <f>+_xlfn.XLOOKUP($H46,Turni!$A:$A,Turni!C:C)</f>
        <v>15:00</v>
      </c>
      <c r="J46" t="str">
        <f>+_xlfn.XLOOKUP($H46,Turni!$A:$A,Turni!D:D)</f>
        <v>19:00</v>
      </c>
      <c r="AR46" t="s">
        <v>380</v>
      </c>
      <c r="AS46" t="s">
        <v>381</v>
      </c>
    </row>
    <row r="47" spans="1:45" x14ac:dyDescent="0.45">
      <c r="A47" t="s">
        <v>344</v>
      </c>
      <c r="B47" t="s">
        <v>325</v>
      </c>
      <c r="C47" t="s">
        <v>363</v>
      </c>
      <c r="D47" s="5">
        <f t="shared" si="0"/>
        <v>45973</v>
      </c>
      <c r="E47" t="s">
        <v>79</v>
      </c>
      <c r="F47">
        <v>0.5</v>
      </c>
      <c r="G47">
        <v>20</v>
      </c>
      <c r="H47" t="s">
        <v>287</v>
      </c>
      <c r="I47" t="str">
        <f>+_xlfn.XLOOKUP($H47,Turni!$A:$A,Turni!C:C)</f>
        <v>15:15</v>
      </c>
      <c r="J47" t="str">
        <f>+_xlfn.XLOOKUP($H47,Turni!$A:$A,Turni!D:D)</f>
        <v>19:15</v>
      </c>
      <c r="AR47" t="s">
        <v>380</v>
      </c>
      <c r="AS47" t="s">
        <v>381</v>
      </c>
    </row>
    <row r="48" spans="1:45" x14ac:dyDescent="0.45">
      <c r="A48" t="s">
        <v>345</v>
      </c>
      <c r="B48" t="s">
        <v>326</v>
      </c>
      <c r="C48" t="s">
        <v>364</v>
      </c>
      <c r="D48" s="5">
        <f t="shared" si="0"/>
        <v>45973</v>
      </c>
      <c r="E48" t="s">
        <v>79</v>
      </c>
      <c r="F48">
        <v>0.5</v>
      </c>
      <c r="G48">
        <v>20</v>
      </c>
      <c r="H48" t="s">
        <v>240</v>
      </c>
      <c r="I48" t="str">
        <f>+_xlfn.XLOOKUP($H48,Turni!$A:$A,Turni!C:C)</f>
        <v>10:30</v>
      </c>
      <c r="J48" t="str">
        <f>+_xlfn.XLOOKUP($H48,Turni!$A:$A,Turni!D:D)</f>
        <v>14:30</v>
      </c>
      <c r="AR48" t="s">
        <v>380</v>
      </c>
      <c r="AS48" t="s">
        <v>381</v>
      </c>
    </row>
    <row r="49" spans="1:45" x14ac:dyDescent="0.45">
      <c r="A49" t="s">
        <v>341</v>
      </c>
      <c r="B49" t="s">
        <v>326</v>
      </c>
      <c r="C49" t="s">
        <v>365</v>
      </c>
      <c r="D49" s="5">
        <f t="shared" si="0"/>
        <v>45973</v>
      </c>
      <c r="E49" t="s">
        <v>79</v>
      </c>
      <c r="F49">
        <v>0.5</v>
      </c>
      <c r="G49">
        <v>20</v>
      </c>
      <c r="H49" t="s">
        <v>235</v>
      </c>
      <c r="I49" t="str">
        <f>+_xlfn.XLOOKUP($H49,Turni!$A:$A,Turni!C:C)</f>
        <v>10:00</v>
      </c>
      <c r="J49" t="str">
        <f>+_xlfn.XLOOKUP($H49,Turni!$A:$A,Turni!D:D)</f>
        <v>14:00</v>
      </c>
      <c r="AR49" t="s">
        <v>380</v>
      </c>
      <c r="AS49" t="s">
        <v>381</v>
      </c>
    </row>
    <row r="50" spans="1:45" x14ac:dyDescent="0.45">
      <c r="A50" t="s">
        <v>346</v>
      </c>
      <c r="B50" t="s">
        <v>327</v>
      </c>
      <c r="C50" t="s">
        <v>366</v>
      </c>
      <c r="D50" s="5">
        <f t="shared" si="0"/>
        <v>45973</v>
      </c>
      <c r="E50" t="s">
        <v>79</v>
      </c>
      <c r="F50">
        <v>0.5</v>
      </c>
      <c r="G50">
        <v>20</v>
      </c>
      <c r="H50" t="s">
        <v>282</v>
      </c>
      <c r="I50" t="str">
        <f>+_xlfn.XLOOKUP($H50,Turni!$A:$A,Turni!C:C)</f>
        <v>15:30</v>
      </c>
      <c r="J50" t="str">
        <f>+_xlfn.XLOOKUP($H50,Turni!$A:$A,Turni!D:D)</f>
        <v>19:30</v>
      </c>
      <c r="AR50" t="s">
        <v>380</v>
      </c>
      <c r="AS50" t="s">
        <v>381</v>
      </c>
    </row>
    <row r="51" spans="1:45" x14ac:dyDescent="0.45">
      <c r="A51" t="s">
        <v>347</v>
      </c>
      <c r="B51" t="s">
        <v>328</v>
      </c>
      <c r="C51" t="s">
        <v>367</v>
      </c>
      <c r="D51" s="5">
        <f t="shared" si="0"/>
        <v>45973</v>
      </c>
      <c r="E51" t="s">
        <v>79</v>
      </c>
      <c r="F51">
        <v>0.5</v>
      </c>
      <c r="G51">
        <v>20</v>
      </c>
      <c r="H51" t="s">
        <v>378</v>
      </c>
      <c r="I51">
        <f>+_xlfn.XLOOKUP($H51,Turni!$A:$A,Turni!C:C)</f>
        <v>0</v>
      </c>
      <c r="J51">
        <f>+_xlfn.XLOOKUP($H51,Turni!$A:$A,Turni!D:D)</f>
        <v>0</v>
      </c>
      <c r="AR51" t="s">
        <v>380</v>
      </c>
      <c r="AS51" t="s">
        <v>381</v>
      </c>
    </row>
    <row r="52" spans="1:45" x14ac:dyDescent="0.45">
      <c r="A52" t="s">
        <v>348</v>
      </c>
      <c r="B52" t="s">
        <v>329</v>
      </c>
      <c r="C52" t="s">
        <v>368</v>
      </c>
      <c r="D52" s="5">
        <f t="shared" si="0"/>
        <v>45973</v>
      </c>
      <c r="E52" t="s">
        <v>79</v>
      </c>
      <c r="F52">
        <v>0.5</v>
      </c>
      <c r="G52">
        <v>20</v>
      </c>
      <c r="H52" t="s">
        <v>290</v>
      </c>
      <c r="I52" t="str">
        <f>+_xlfn.XLOOKUP($H52,Turni!$A:$A,Turni!C:C)</f>
        <v>16:45</v>
      </c>
      <c r="J52" t="str">
        <f>+_xlfn.XLOOKUP($H52,Turni!$A:$A,Turni!D:D)</f>
        <v>20:45</v>
      </c>
      <c r="AR52" t="s">
        <v>380</v>
      </c>
      <c r="AS52" t="s">
        <v>381</v>
      </c>
    </row>
    <row r="53" spans="1:45" x14ac:dyDescent="0.45">
      <c r="A53" t="s">
        <v>349</v>
      </c>
      <c r="B53" t="s">
        <v>330</v>
      </c>
      <c r="C53" t="s">
        <v>369</v>
      </c>
      <c r="D53" s="5">
        <f t="shared" si="0"/>
        <v>45973</v>
      </c>
      <c r="E53" t="s">
        <v>79</v>
      </c>
      <c r="F53">
        <v>0.5</v>
      </c>
      <c r="G53">
        <v>20</v>
      </c>
      <c r="H53" t="s">
        <v>280</v>
      </c>
      <c r="I53" t="str">
        <f>+_xlfn.XLOOKUP($H53,Turni!$A:$A,Turni!C:C)</f>
        <v>15:00</v>
      </c>
      <c r="J53" t="str">
        <f>+_xlfn.XLOOKUP($H53,Turni!$A:$A,Turni!D:D)</f>
        <v>19:00</v>
      </c>
      <c r="AR53" t="s">
        <v>380</v>
      </c>
      <c r="AS53" t="s">
        <v>381</v>
      </c>
    </row>
    <row r="54" spans="1:45" x14ac:dyDescent="0.45">
      <c r="A54" t="s">
        <v>350</v>
      </c>
      <c r="B54" t="s">
        <v>331</v>
      </c>
      <c r="C54" t="s">
        <v>370</v>
      </c>
      <c r="D54" s="5">
        <f t="shared" si="0"/>
        <v>45973</v>
      </c>
      <c r="E54" t="s">
        <v>79</v>
      </c>
      <c r="F54">
        <v>0.5</v>
      </c>
      <c r="G54">
        <v>20</v>
      </c>
      <c r="H54" t="s">
        <v>225</v>
      </c>
      <c r="I54" t="str">
        <f>+_xlfn.XLOOKUP($H54,Turni!$A:$A,Turni!C:C)</f>
        <v>09:00</v>
      </c>
      <c r="J54" t="str">
        <f>+_xlfn.XLOOKUP($H54,Turni!$A:$A,Turni!D:D)</f>
        <v>13:00</v>
      </c>
      <c r="AR54" t="s">
        <v>380</v>
      </c>
      <c r="AS54" t="s">
        <v>381</v>
      </c>
    </row>
    <row r="55" spans="1:45" x14ac:dyDescent="0.45">
      <c r="A55" t="s">
        <v>351</v>
      </c>
      <c r="B55" t="s">
        <v>332</v>
      </c>
      <c r="C55" t="s">
        <v>371</v>
      </c>
      <c r="D55" s="5">
        <f t="shared" si="0"/>
        <v>45973</v>
      </c>
      <c r="E55" t="s">
        <v>79</v>
      </c>
      <c r="F55">
        <v>0.5</v>
      </c>
      <c r="G55">
        <v>20</v>
      </c>
      <c r="H55" t="s">
        <v>290</v>
      </c>
      <c r="I55" t="str">
        <f>+_xlfn.XLOOKUP($H55,Turni!$A:$A,Turni!C:C)</f>
        <v>16:45</v>
      </c>
      <c r="J55" t="str">
        <f>+_xlfn.XLOOKUP($H55,Turni!$A:$A,Turni!D:D)</f>
        <v>20:45</v>
      </c>
      <c r="AR55" t="s">
        <v>380</v>
      </c>
      <c r="AS55" t="s">
        <v>381</v>
      </c>
    </row>
    <row r="56" spans="1:45" x14ac:dyDescent="0.45">
      <c r="A56" t="s">
        <v>352</v>
      </c>
      <c r="B56" t="s">
        <v>333</v>
      </c>
      <c r="C56" t="s">
        <v>372</v>
      </c>
      <c r="D56" s="5">
        <f t="shared" si="0"/>
        <v>45973</v>
      </c>
      <c r="E56" t="s">
        <v>79</v>
      </c>
      <c r="F56">
        <v>0.5</v>
      </c>
      <c r="G56">
        <v>20</v>
      </c>
      <c r="H56" t="s">
        <v>280</v>
      </c>
      <c r="I56" t="str">
        <f>+_xlfn.XLOOKUP($H56,Turni!$A:$A,Turni!C:C)</f>
        <v>15:00</v>
      </c>
      <c r="J56" t="str">
        <f>+_xlfn.XLOOKUP($H56,Turni!$A:$A,Turni!D:D)</f>
        <v>19:00</v>
      </c>
      <c r="AR56" t="s">
        <v>380</v>
      </c>
      <c r="AS56" t="s">
        <v>381</v>
      </c>
    </row>
    <row r="57" spans="1:45" x14ac:dyDescent="0.45">
      <c r="A57" t="s">
        <v>353</v>
      </c>
      <c r="B57" t="s">
        <v>334</v>
      </c>
      <c r="C57" t="s">
        <v>373</v>
      </c>
      <c r="D57" s="5">
        <f t="shared" si="0"/>
        <v>45973</v>
      </c>
      <c r="E57" t="s">
        <v>79</v>
      </c>
      <c r="F57">
        <v>0.5</v>
      </c>
      <c r="G57">
        <v>20</v>
      </c>
      <c r="H57" t="s">
        <v>287</v>
      </c>
      <c r="I57" t="str">
        <f>+_xlfn.XLOOKUP($H57,Turni!$A:$A,Turni!C:C)</f>
        <v>15:15</v>
      </c>
      <c r="J57" t="str">
        <f>+_xlfn.XLOOKUP($H57,Turni!$A:$A,Turni!D:D)</f>
        <v>19:15</v>
      </c>
      <c r="AR57" t="s">
        <v>380</v>
      </c>
      <c r="AS57" t="s">
        <v>381</v>
      </c>
    </row>
    <row r="58" spans="1:45" x14ac:dyDescent="0.45">
      <c r="A58" t="s">
        <v>354</v>
      </c>
      <c r="B58" t="s">
        <v>335</v>
      </c>
      <c r="C58" t="s">
        <v>374</v>
      </c>
      <c r="D58" s="5">
        <f t="shared" si="0"/>
        <v>45973</v>
      </c>
      <c r="E58" t="s">
        <v>79</v>
      </c>
      <c r="F58">
        <v>0.5</v>
      </c>
      <c r="G58">
        <v>20</v>
      </c>
      <c r="H58" t="s">
        <v>280</v>
      </c>
      <c r="I58" t="str">
        <f>+_xlfn.XLOOKUP($H58,Turni!$A:$A,Turni!C:C)</f>
        <v>15:00</v>
      </c>
      <c r="J58" t="str">
        <f>+_xlfn.XLOOKUP($H58,Turni!$A:$A,Turni!D:D)</f>
        <v>19:00</v>
      </c>
      <c r="AR58" t="s">
        <v>380</v>
      </c>
      <c r="AS58" t="s">
        <v>381</v>
      </c>
    </row>
    <row r="59" spans="1:45" x14ac:dyDescent="0.45">
      <c r="A59" t="s">
        <v>355</v>
      </c>
      <c r="B59" t="s">
        <v>336</v>
      </c>
      <c r="C59" t="s">
        <v>375</v>
      </c>
      <c r="D59" s="5">
        <f t="shared" si="0"/>
        <v>45973</v>
      </c>
      <c r="E59" t="s">
        <v>79</v>
      </c>
      <c r="F59">
        <v>0.5</v>
      </c>
      <c r="G59">
        <v>20</v>
      </c>
      <c r="H59" t="s">
        <v>238</v>
      </c>
      <c r="I59" t="str">
        <f>+_xlfn.XLOOKUP($H59,Turni!$A:$A,Turni!C:C)</f>
        <v>10:15</v>
      </c>
      <c r="J59" t="str">
        <f>+_xlfn.XLOOKUP($H59,Turni!$A:$A,Turni!D:D)</f>
        <v>14:15</v>
      </c>
      <c r="AR59" t="s">
        <v>380</v>
      </c>
      <c r="AS59" t="s">
        <v>381</v>
      </c>
    </row>
    <row r="60" spans="1:45" x14ac:dyDescent="0.45">
      <c r="A60" t="s">
        <v>356</v>
      </c>
      <c r="B60" t="s">
        <v>337</v>
      </c>
      <c r="C60" t="s">
        <v>376</v>
      </c>
      <c r="D60" s="5">
        <f t="shared" si="0"/>
        <v>45973</v>
      </c>
      <c r="E60" t="s">
        <v>79</v>
      </c>
      <c r="F60">
        <v>0.5</v>
      </c>
      <c r="G60">
        <v>20</v>
      </c>
      <c r="H60" t="s">
        <v>295</v>
      </c>
      <c r="I60" t="str">
        <f>+_xlfn.XLOOKUP($H60,Turni!$A:$A,Turni!C:C)</f>
        <v>16:15</v>
      </c>
      <c r="J60" t="str">
        <f>+_xlfn.XLOOKUP($H60,Turni!$A:$A,Turni!D:D)</f>
        <v>20:15</v>
      </c>
      <c r="AR60" t="s">
        <v>380</v>
      </c>
      <c r="AS60" t="s">
        <v>381</v>
      </c>
    </row>
    <row r="61" spans="1:45" x14ac:dyDescent="0.45">
      <c r="A61" t="s">
        <v>357</v>
      </c>
      <c r="B61" t="s">
        <v>338</v>
      </c>
      <c r="C61" t="s">
        <v>377</v>
      </c>
      <c r="D61" s="5">
        <f t="shared" si="0"/>
        <v>45973</v>
      </c>
      <c r="E61" t="s">
        <v>79</v>
      </c>
      <c r="F61">
        <v>0.5</v>
      </c>
      <c r="G61">
        <v>20</v>
      </c>
      <c r="H61" t="s">
        <v>243</v>
      </c>
      <c r="I61" t="str">
        <f>+_xlfn.XLOOKUP($H61,Turni!$A:$A,Turni!C:C)</f>
        <v>10:45</v>
      </c>
      <c r="J61" t="str">
        <f>+_xlfn.XLOOKUP($H61,Turni!$A:$A,Turni!D:D)</f>
        <v>14:45</v>
      </c>
      <c r="AR61" t="s">
        <v>380</v>
      </c>
      <c r="AS61" t="s">
        <v>381</v>
      </c>
    </row>
    <row r="62" spans="1:45" x14ac:dyDescent="0.45">
      <c r="A62" t="s">
        <v>339</v>
      </c>
      <c r="B62" t="s">
        <v>320</v>
      </c>
      <c r="C62" t="s">
        <v>358</v>
      </c>
      <c r="D62" s="5">
        <f t="shared" si="0"/>
        <v>45974</v>
      </c>
      <c r="E62" t="s">
        <v>79</v>
      </c>
      <c r="F62">
        <v>0.5</v>
      </c>
      <c r="G62">
        <v>20</v>
      </c>
      <c r="H62" t="s">
        <v>243</v>
      </c>
      <c r="I62" t="str">
        <f>+_xlfn.XLOOKUP($H62,Turni!$A:$A,Turni!C:C)</f>
        <v>10:45</v>
      </c>
      <c r="J62" t="str">
        <f>+_xlfn.XLOOKUP($H62,Turni!$A:$A,Turni!D:D)</f>
        <v>14:45</v>
      </c>
      <c r="AR62" t="s">
        <v>380</v>
      </c>
      <c r="AS62" t="s">
        <v>381</v>
      </c>
    </row>
    <row r="63" spans="1:45" x14ac:dyDescent="0.45">
      <c r="A63" t="s">
        <v>340</v>
      </c>
      <c r="B63" t="s">
        <v>321</v>
      </c>
      <c r="C63" t="s">
        <v>359</v>
      </c>
      <c r="D63" s="5">
        <f t="shared" si="0"/>
        <v>45974</v>
      </c>
      <c r="E63" t="s">
        <v>79</v>
      </c>
      <c r="F63">
        <v>0.5</v>
      </c>
      <c r="G63">
        <v>20</v>
      </c>
      <c r="H63" t="s">
        <v>284</v>
      </c>
      <c r="I63" t="str">
        <f>+_xlfn.XLOOKUP($H63,Turni!$A:$A,Turni!C:C)</f>
        <v>16:00</v>
      </c>
      <c r="J63" t="str">
        <f>+_xlfn.XLOOKUP($H63,Turni!$A:$A,Turni!D:D)</f>
        <v>20:00</v>
      </c>
      <c r="AR63" t="s">
        <v>380</v>
      </c>
      <c r="AS63" t="s">
        <v>381</v>
      </c>
    </row>
    <row r="64" spans="1:45" x14ac:dyDescent="0.45">
      <c r="A64" t="s">
        <v>341</v>
      </c>
      <c r="B64" t="s">
        <v>322</v>
      </c>
      <c r="C64" t="s">
        <v>360</v>
      </c>
      <c r="D64" s="5">
        <f t="shared" si="0"/>
        <v>45974</v>
      </c>
      <c r="E64" t="s">
        <v>79</v>
      </c>
      <c r="F64">
        <v>0.5</v>
      </c>
      <c r="G64">
        <v>20</v>
      </c>
      <c r="H64" t="s">
        <v>290</v>
      </c>
      <c r="I64" t="str">
        <f>+_xlfn.XLOOKUP($H64,Turni!$A:$A,Turni!C:C)</f>
        <v>16:45</v>
      </c>
      <c r="J64" t="str">
        <f>+_xlfn.XLOOKUP($H64,Turni!$A:$A,Turni!D:D)</f>
        <v>20:45</v>
      </c>
      <c r="AR64" t="s">
        <v>380</v>
      </c>
      <c r="AS64" t="s">
        <v>381</v>
      </c>
    </row>
    <row r="65" spans="1:45" x14ac:dyDescent="0.45">
      <c r="A65" t="s">
        <v>342</v>
      </c>
      <c r="B65" t="s">
        <v>323</v>
      </c>
      <c r="C65" t="s">
        <v>361</v>
      </c>
      <c r="D65" s="5">
        <f t="shared" si="0"/>
        <v>45974</v>
      </c>
      <c r="E65" t="s">
        <v>79</v>
      </c>
      <c r="F65">
        <v>0.5</v>
      </c>
      <c r="G65">
        <v>20</v>
      </c>
      <c r="H65" t="s">
        <v>243</v>
      </c>
      <c r="I65" t="str">
        <f>+_xlfn.XLOOKUP($H65,Turni!$A:$A,Turni!C:C)</f>
        <v>10:45</v>
      </c>
      <c r="J65" t="str">
        <f>+_xlfn.XLOOKUP($H65,Turni!$A:$A,Turni!D:D)</f>
        <v>14:45</v>
      </c>
      <c r="AR65" t="s">
        <v>380</v>
      </c>
      <c r="AS65" t="s">
        <v>381</v>
      </c>
    </row>
    <row r="66" spans="1:45" x14ac:dyDescent="0.45">
      <c r="A66" t="s">
        <v>343</v>
      </c>
      <c r="B66" t="s">
        <v>324</v>
      </c>
      <c r="C66" t="s">
        <v>362</v>
      </c>
      <c r="D66" s="5">
        <f t="shared" si="0"/>
        <v>45974</v>
      </c>
      <c r="E66" t="s">
        <v>79</v>
      </c>
      <c r="F66">
        <v>0.5</v>
      </c>
      <c r="G66">
        <v>20</v>
      </c>
      <c r="H66" t="s">
        <v>280</v>
      </c>
      <c r="I66" t="str">
        <f>+_xlfn.XLOOKUP($H66,Turni!$A:$A,Turni!C:C)</f>
        <v>15:00</v>
      </c>
      <c r="J66" t="str">
        <f>+_xlfn.XLOOKUP($H66,Turni!$A:$A,Turni!D:D)</f>
        <v>19:00</v>
      </c>
      <c r="AR66" t="s">
        <v>380</v>
      </c>
      <c r="AS66" t="s">
        <v>381</v>
      </c>
    </row>
    <row r="67" spans="1:45" x14ac:dyDescent="0.45">
      <c r="A67" t="s">
        <v>344</v>
      </c>
      <c r="B67" t="s">
        <v>325</v>
      </c>
      <c r="C67" t="s">
        <v>363</v>
      </c>
      <c r="D67" s="5">
        <f t="shared" si="0"/>
        <v>45974</v>
      </c>
      <c r="E67" t="s">
        <v>79</v>
      </c>
      <c r="F67">
        <v>0.5</v>
      </c>
      <c r="G67">
        <v>20</v>
      </c>
      <c r="H67" t="s">
        <v>290</v>
      </c>
      <c r="I67" t="str">
        <f>+_xlfn.XLOOKUP($H67,Turni!$A:$A,Turni!C:C)</f>
        <v>16:45</v>
      </c>
      <c r="J67" t="str">
        <f>+_xlfn.XLOOKUP($H67,Turni!$A:$A,Turni!D:D)</f>
        <v>20:45</v>
      </c>
      <c r="AR67" t="s">
        <v>380</v>
      </c>
      <c r="AS67" t="s">
        <v>381</v>
      </c>
    </row>
    <row r="68" spans="1:45" x14ac:dyDescent="0.45">
      <c r="A68" t="s">
        <v>345</v>
      </c>
      <c r="B68" t="s">
        <v>326</v>
      </c>
      <c r="C68" t="s">
        <v>364</v>
      </c>
      <c r="D68" s="5">
        <f t="shared" si="0"/>
        <v>45974</v>
      </c>
      <c r="E68" t="s">
        <v>79</v>
      </c>
      <c r="F68">
        <v>0.5</v>
      </c>
      <c r="G68">
        <v>20</v>
      </c>
      <c r="H68" t="s">
        <v>240</v>
      </c>
      <c r="I68" t="str">
        <f>+_xlfn.XLOOKUP($H68,Turni!$A:$A,Turni!C:C)</f>
        <v>10:30</v>
      </c>
      <c r="J68" t="str">
        <f>+_xlfn.XLOOKUP($H68,Turni!$A:$A,Turni!D:D)</f>
        <v>14:30</v>
      </c>
      <c r="AR68" t="s">
        <v>380</v>
      </c>
      <c r="AS68" t="s">
        <v>381</v>
      </c>
    </row>
    <row r="69" spans="1:45" x14ac:dyDescent="0.45">
      <c r="A69" t="s">
        <v>341</v>
      </c>
      <c r="B69" t="s">
        <v>326</v>
      </c>
      <c r="C69" t="s">
        <v>365</v>
      </c>
      <c r="D69" s="5">
        <f t="shared" si="0"/>
        <v>45974</v>
      </c>
      <c r="E69" t="s">
        <v>79</v>
      </c>
      <c r="F69">
        <v>0.5</v>
      </c>
      <c r="G69">
        <v>20</v>
      </c>
      <c r="H69" t="s">
        <v>378</v>
      </c>
      <c r="I69">
        <f>+_xlfn.XLOOKUP($H69,Turni!$A:$A,Turni!C:C)</f>
        <v>0</v>
      </c>
      <c r="J69">
        <f>+_xlfn.XLOOKUP($H69,Turni!$A:$A,Turni!D:D)</f>
        <v>0</v>
      </c>
      <c r="AR69" t="s">
        <v>380</v>
      </c>
      <c r="AS69" t="s">
        <v>381</v>
      </c>
    </row>
    <row r="70" spans="1:45" x14ac:dyDescent="0.45">
      <c r="A70" t="s">
        <v>346</v>
      </c>
      <c r="B70" t="s">
        <v>327</v>
      </c>
      <c r="C70" t="s">
        <v>366</v>
      </c>
      <c r="D70" s="5">
        <f t="shared" si="0"/>
        <v>45974</v>
      </c>
      <c r="E70" t="s">
        <v>79</v>
      </c>
      <c r="F70">
        <v>0.5</v>
      </c>
      <c r="G70">
        <v>20</v>
      </c>
      <c r="H70" t="s">
        <v>280</v>
      </c>
      <c r="I70" t="str">
        <f>+_xlfn.XLOOKUP($H70,Turni!$A:$A,Turni!C:C)</f>
        <v>15:00</v>
      </c>
      <c r="J70" t="str">
        <f>+_xlfn.XLOOKUP($H70,Turni!$A:$A,Turni!D:D)</f>
        <v>19:00</v>
      </c>
      <c r="AR70" t="s">
        <v>380</v>
      </c>
      <c r="AS70" t="s">
        <v>381</v>
      </c>
    </row>
    <row r="71" spans="1:45" x14ac:dyDescent="0.45">
      <c r="A71" t="s">
        <v>347</v>
      </c>
      <c r="B71" t="s">
        <v>328</v>
      </c>
      <c r="C71" t="s">
        <v>367</v>
      </c>
      <c r="D71" s="5">
        <f t="shared" si="0"/>
        <v>45974</v>
      </c>
      <c r="E71" t="s">
        <v>79</v>
      </c>
      <c r="F71">
        <v>0.5</v>
      </c>
      <c r="G71">
        <v>20</v>
      </c>
      <c r="H71" t="s">
        <v>280</v>
      </c>
      <c r="I71" t="str">
        <f>+_xlfn.XLOOKUP($H71,Turni!$A:$A,Turni!C:C)</f>
        <v>15:00</v>
      </c>
      <c r="J71" t="str">
        <f>+_xlfn.XLOOKUP($H71,Turni!$A:$A,Turni!D:D)</f>
        <v>19:00</v>
      </c>
      <c r="AR71" t="s">
        <v>380</v>
      </c>
      <c r="AS71" t="s">
        <v>381</v>
      </c>
    </row>
    <row r="72" spans="1:45" x14ac:dyDescent="0.45">
      <c r="A72" t="s">
        <v>348</v>
      </c>
      <c r="B72" t="s">
        <v>329</v>
      </c>
      <c r="C72" t="s">
        <v>368</v>
      </c>
      <c r="D72" s="5">
        <f t="shared" si="0"/>
        <v>45974</v>
      </c>
      <c r="E72" t="s">
        <v>79</v>
      </c>
      <c r="F72">
        <v>0.5</v>
      </c>
      <c r="G72">
        <v>20</v>
      </c>
      <c r="H72" t="s">
        <v>283</v>
      </c>
      <c r="I72" t="str">
        <f>+_xlfn.XLOOKUP($H72,Turni!$A:$A,Turni!C:C)</f>
        <v>15:45</v>
      </c>
      <c r="J72" t="str">
        <f>+_xlfn.XLOOKUP($H72,Turni!$A:$A,Turni!D:D)</f>
        <v>19:45</v>
      </c>
      <c r="AR72" t="s">
        <v>380</v>
      </c>
      <c r="AS72" t="s">
        <v>381</v>
      </c>
    </row>
    <row r="73" spans="1:45" x14ac:dyDescent="0.45">
      <c r="A73" t="s">
        <v>349</v>
      </c>
      <c r="B73" t="s">
        <v>330</v>
      </c>
      <c r="C73" t="s">
        <v>369</v>
      </c>
      <c r="D73" s="5">
        <f t="shared" si="0"/>
        <v>45974</v>
      </c>
      <c r="E73" t="s">
        <v>79</v>
      </c>
      <c r="F73">
        <v>0.5</v>
      </c>
      <c r="G73">
        <v>20</v>
      </c>
      <c r="H73" t="s">
        <v>287</v>
      </c>
      <c r="I73" t="str">
        <f>+_xlfn.XLOOKUP($H73,Turni!$A:$A,Turni!C:C)</f>
        <v>15:15</v>
      </c>
      <c r="J73" t="str">
        <f>+_xlfn.XLOOKUP($H73,Turni!$A:$A,Turni!D:D)</f>
        <v>19:15</v>
      </c>
      <c r="AR73" t="s">
        <v>380</v>
      </c>
      <c r="AS73" t="s">
        <v>381</v>
      </c>
    </row>
    <row r="74" spans="1:45" x14ac:dyDescent="0.45">
      <c r="A74" t="s">
        <v>350</v>
      </c>
      <c r="B74" t="s">
        <v>331</v>
      </c>
      <c r="C74" t="s">
        <v>370</v>
      </c>
      <c r="D74" s="5">
        <f t="shared" si="0"/>
        <v>45974</v>
      </c>
      <c r="E74" t="s">
        <v>79</v>
      </c>
      <c r="F74">
        <v>0.5</v>
      </c>
      <c r="G74">
        <v>20</v>
      </c>
      <c r="H74" t="s">
        <v>225</v>
      </c>
      <c r="I74" t="str">
        <f>+_xlfn.XLOOKUP($H74,Turni!$A:$A,Turni!C:C)</f>
        <v>09:00</v>
      </c>
      <c r="J74" t="str">
        <f>+_xlfn.XLOOKUP($H74,Turni!$A:$A,Turni!D:D)</f>
        <v>13:00</v>
      </c>
      <c r="AR74" t="s">
        <v>380</v>
      </c>
      <c r="AS74" t="s">
        <v>381</v>
      </c>
    </row>
    <row r="75" spans="1:45" x14ac:dyDescent="0.45">
      <c r="A75" t="s">
        <v>351</v>
      </c>
      <c r="B75" t="s">
        <v>332</v>
      </c>
      <c r="C75" t="s">
        <v>371</v>
      </c>
      <c r="D75" s="5">
        <f t="shared" si="0"/>
        <v>45974</v>
      </c>
      <c r="E75" t="s">
        <v>79</v>
      </c>
      <c r="F75">
        <v>0.5</v>
      </c>
      <c r="G75">
        <v>20</v>
      </c>
      <c r="H75" t="s">
        <v>280</v>
      </c>
      <c r="I75" t="str">
        <f>+_xlfn.XLOOKUP($H75,Turni!$A:$A,Turni!C:C)</f>
        <v>15:00</v>
      </c>
      <c r="J75" t="str">
        <f>+_xlfn.XLOOKUP($H75,Turni!$A:$A,Turni!D:D)</f>
        <v>19:00</v>
      </c>
      <c r="AR75" t="s">
        <v>380</v>
      </c>
      <c r="AS75" t="s">
        <v>381</v>
      </c>
    </row>
    <row r="76" spans="1:45" x14ac:dyDescent="0.45">
      <c r="A76" t="s">
        <v>352</v>
      </c>
      <c r="B76" t="s">
        <v>333</v>
      </c>
      <c r="C76" t="s">
        <v>372</v>
      </c>
      <c r="D76" s="5">
        <f t="shared" si="0"/>
        <v>45974</v>
      </c>
      <c r="E76" t="s">
        <v>79</v>
      </c>
      <c r="F76">
        <v>0.5</v>
      </c>
      <c r="G76">
        <v>20</v>
      </c>
      <c r="H76" t="s">
        <v>280</v>
      </c>
      <c r="I76" t="str">
        <f>+_xlfn.XLOOKUP($H76,Turni!$A:$A,Turni!C:C)</f>
        <v>15:00</v>
      </c>
      <c r="J76" t="str">
        <f>+_xlfn.XLOOKUP($H76,Turni!$A:$A,Turni!D:D)</f>
        <v>19:00</v>
      </c>
      <c r="AR76" t="s">
        <v>380</v>
      </c>
      <c r="AS76" t="s">
        <v>381</v>
      </c>
    </row>
    <row r="77" spans="1:45" x14ac:dyDescent="0.45">
      <c r="A77" t="s">
        <v>353</v>
      </c>
      <c r="B77" t="s">
        <v>334</v>
      </c>
      <c r="C77" t="s">
        <v>373</v>
      </c>
      <c r="D77" s="5">
        <f t="shared" si="0"/>
        <v>45974</v>
      </c>
      <c r="E77" t="s">
        <v>79</v>
      </c>
      <c r="F77">
        <v>0.5</v>
      </c>
      <c r="G77">
        <v>20</v>
      </c>
      <c r="H77" t="s">
        <v>378</v>
      </c>
      <c r="I77">
        <f>+_xlfn.XLOOKUP($H77,Turni!$A:$A,Turni!C:C)</f>
        <v>0</v>
      </c>
      <c r="J77">
        <f>+_xlfn.XLOOKUP($H77,Turni!$A:$A,Turni!D:D)</f>
        <v>0</v>
      </c>
      <c r="AR77" t="s">
        <v>380</v>
      </c>
      <c r="AS77" t="s">
        <v>381</v>
      </c>
    </row>
    <row r="78" spans="1:45" x14ac:dyDescent="0.45">
      <c r="A78" t="s">
        <v>354</v>
      </c>
      <c r="B78" t="s">
        <v>335</v>
      </c>
      <c r="C78" t="s">
        <v>374</v>
      </c>
      <c r="D78" s="5">
        <f t="shared" si="0"/>
        <v>45974</v>
      </c>
      <c r="E78" t="s">
        <v>79</v>
      </c>
      <c r="F78">
        <v>0.5</v>
      </c>
      <c r="G78">
        <v>20</v>
      </c>
      <c r="H78" t="s">
        <v>295</v>
      </c>
      <c r="I78" t="str">
        <f>+_xlfn.XLOOKUP($H78,Turni!$A:$A,Turni!C:C)</f>
        <v>16:15</v>
      </c>
      <c r="J78" t="str">
        <f>+_xlfn.XLOOKUP($H78,Turni!$A:$A,Turni!D:D)</f>
        <v>20:15</v>
      </c>
      <c r="AR78" t="s">
        <v>380</v>
      </c>
      <c r="AS78" t="s">
        <v>381</v>
      </c>
    </row>
    <row r="79" spans="1:45" x14ac:dyDescent="0.45">
      <c r="A79" t="s">
        <v>355</v>
      </c>
      <c r="B79" t="s">
        <v>336</v>
      </c>
      <c r="C79" t="s">
        <v>375</v>
      </c>
      <c r="D79" s="5">
        <f t="shared" si="0"/>
        <v>45974</v>
      </c>
      <c r="E79" t="s">
        <v>79</v>
      </c>
      <c r="F79">
        <v>0.5</v>
      </c>
      <c r="G79">
        <v>20</v>
      </c>
      <c r="H79" t="s">
        <v>238</v>
      </c>
      <c r="I79" t="str">
        <f>+_xlfn.XLOOKUP($H79,Turni!$A:$A,Turni!C:C)</f>
        <v>10:15</v>
      </c>
      <c r="J79" t="str">
        <f>+_xlfn.XLOOKUP($H79,Turni!$A:$A,Turni!D:D)</f>
        <v>14:15</v>
      </c>
      <c r="AR79" t="s">
        <v>380</v>
      </c>
      <c r="AS79" t="s">
        <v>381</v>
      </c>
    </row>
    <row r="80" spans="1:45" x14ac:dyDescent="0.45">
      <c r="A80" t="s">
        <v>356</v>
      </c>
      <c r="B80" t="s">
        <v>337</v>
      </c>
      <c r="C80" t="s">
        <v>376</v>
      </c>
      <c r="D80" s="5">
        <f t="shared" si="0"/>
        <v>45974</v>
      </c>
      <c r="E80" t="s">
        <v>79</v>
      </c>
      <c r="F80">
        <v>0.5</v>
      </c>
      <c r="G80">
        <v>20</v>
      </c>
      <c r="H80" t="s">
        <v>280</v>
      </c>
      <c r="I80" t="str">
        <f>+_xlfn.XLOOKUP($H80,Turni!$A:$A,Turni!C:C)</f>
        <v>15:00</v>
      </c>
      <c r="J80" t="str">
        <f>+_xlfn.XLOOKUP($H80,Turni!$A:$A,Turni!D:D)</f>
        <v>19:00</v>
      </c>
      <c r="AR80" t="s">
        <v>380</v>
      </c>
      <c r="AS80" t="s">
        <v>381</v>
      </c>
    </row>
    <row r="81" spans="1:45" x14ac:dyDescent="0.45">
      <c r="A81" t="s">
        <v>357</v>
      </c>
      <c r="B81" t="s">
        <v>338</v>
      </c>
      <c r="C81" t="s">
        <v>377</v>
      </c>
      <c r="D81" s="5">
        <f t="shared" si="0"/>
        <v>45974</v>
      </c>
      <c r="E81" t="s">
        <v>79</v>
      </c>
      <c r="F81">
        <v>0.5</v>
      </c>
      <c r="G81">
        <v>20</v>
      </c>
      <c r="H81" t="s">
        <v>233</v>
      </c>
      <c r="I81" t="str">
        <f>+_xlfn.XLOOKUP($H81,Turni!$A:$A,Turni!C:C)</f>
        <v>09:45</v>
      </c>
      <c r="J81" t="str">
        <f>+_xlfn.XLOOKUP($H81,Turni!$A:$A,Turni!D:D)</f>
        <v>13:45</v>
      </c>
      <c r="AR81" t="s">
        <v>380</v>
      </c>
      <c r="AS81" t="s">
        <v>381</v>
      </c>
    </row>
    <row r="82" spans="1:45" x14ac:dyDescent="0.45">
      <c r="A82" t="s">
        <v>339</v>
      </c>
      <c r="B82" t="s">
        <v>320</v>
      </c>
      <c r="C82" t="s">
        <v>358</v>
      </c>
      <c r="D82" s="5">
        <f t="shared" si="0"/>
        <v>45975</v>
      </c>
      <c r="E82" t="s">
        <v>79</v>
      </c>
      <c r="F82">
        <v>0.5</v>
      </c>
      <c r="G82">
        <v>20</v>
      </c>
      <c r="H82" t="s">
        <v>245</v>
      </c>
      <c r="I82" t="str">
        <f>+_xlfn.XLOOKUP($H82,Turni!$A:$A,Turni!C:C)</f>
        <v>11:00</v>
      </c>
      <c r="J82" t="str">
        <f>+_xlfn.XLOOKUP($H82,Turni!$A:$A,Turni!D:D)</f>
        <v>15:00</v>
      </c>
      <c r="AR82" t="s">
        <v>380</v>
      </c>
      <c r="AS82" t="s">
        <v>381</v>
      </c>
    </row>
    <row r="83" spans="1:45" x14ac:dyDescent="0.45">
      <c r="A83" t="s">
        <v>340</v>
      </c>
      <c r="B83" t="s">
        <v>321</v>
      </c>
      <c r="C83" t="s">
        <v>359</v>
      </c>
      <c r="D83" s="5">
        <f t="shared" si="0"/>
        <v>45975</v>
      </c>
      <c r="E83" t="s">
        <v>79</v>
      </c>
      <c r="F83">
        <v>0.5</v>
      </c>
      <c r="G83">
        <v>20</v>
      </c>
      <c r="H83" t="s">
        <v>284</v>
      </c>
      <c r="I83" t="str">
        <f>+_xlfn.XLOOKUP($H83,Turni!$A:$A,Turni!C:C)</f>
        <v>16:00</v>
      </c>
      <c r="J83" t="str">
        <f>+_xlfn.XLOOKUP($H83,Turni!$A:$A,Turni!D:D)</f>
        <v>20:00</v>
      </c>
      <c r="AR83" t="s">
        <v>380</v>
      </c>
      <c r="AS83" t="s">
        <v>381</v>
      </c>
    </row>
    <row r="84" spans="1:45" x14ac:dyDescent="0.45">
      <c r="A84" t="s">
        <v>341</v>
      </c>
      <c r="B84" t="s">
        <v>322</v>
      </c>
      <c r="C84" t="s">
        <v>360</v>
      </c>
      <c r="D84" s="5">
        <f t="shared" si="0"/>
        <v>45975</v>
      </c>
      <c r="E84" t="s">
        <v>79</v>
      </c>
      <c r="F84">
        <v>0.5</v>
      </c>
      <c r="G84">
        <v>20</v>
      </c>
      <c r="H84" t="s">
        <v>280</v>
      </c>
      <c r="I84" t="str">
        <f>+_xlfn.XLOOKUP($H84,Turni!$A:$A,Turni!C:C)</f>
        <v>15:00</v>
      </c>
      <c r="J84" t="str">
        <f>+_xlfn.XLOOKUP($H84,Turni!$A:$A,Turni!D:D)</f>
        <v>19:00</v>
      </c>
      <c r="AR84" t="s">
        <v>380</v>
      </c>
      <c r="AS84" t="s">
        <v>381</v>
      </c>
    </row>
    <row r="85" spans="1:45" x14ac:dyDescent="0.45">
      <c r="A85" t="s">
        <v>342</v>
      </c>
      <c r="B85" t="s">
        <v>323</v>
      </c>
      <c r="C85" t="s">
        <v>361</v>
      </c>
      <c r="D85" s="5">
        <f t="shared" si="0"/>
        <v>45975</v>
      </c>
      <c r="E85" t="s">
        <v>79</v>
      </c>
      <c r="F85">
        <v>0.5</v>
      </c>
      <c r="G85">
        <v>20</v>
      </c>
      <c r="H85" t="s">
        <v>245</v>
      </c>
      <c r="I85" t="str">
        <f>+_xlfn.XLOOKUP($H85,Turni!$A:$A,Turni!C:C)</f>
        <v>11:00</v>
      </c>
      <c r="J85" t="str">
        <f>+_xlfn.XLOOKUP($H85,Turni!$A:$A,Turni!D:D)</f>
        <v>15:00</v>
      </c>
      <c r="AR85" t="s">
        <v>380</v>
      </c>
      <c r="AS85" t="s">
        <v>381</v>
      </c>
    </row>
    <row r="86" spans="1:45" x14ac:dyDescent="0.45">
      <c r="A86" t="s">
        <v>343</v>
      </c>
      <c r="B86" t="s">
        <v>324</v>
      </c>
      <c r="C86" t="s">
        <v>362</v>
      </c>
      <c r="D86" s="5">
        <f t="shared" si="0"/>
        <v>45975</v>
      </c>
      <c r="E86" t="s">
        <v>79</v>
      </c>
      <c r="F86">
        <v>0.5</v>
      </c>
      <c r="G86">
        <v>20</v>
      </c>
      <c r="H86" t="s">
        <v>290</v>
      </c>
      <c r="I86" t="str">
        <f>+_xlfn.XLOOKUP($H86,Turni!$A:$A,Turni!C:C)</f>
        <v>16:45</v>
      </c>
      <c r="J86" t="str">
        <f>+_xlfn.XLOOKUP($H86,Turni!$A:$A,Turni!D:D)</f>
        <v>20:45</v>
      </c>
      <c r="AR86" t="s">
        <v>380</v>
      </c>
      <c r="AS86" t="s">
        <v>381</v>
      </c>
    </row>
    <row r="87" spans="1:45" x14ac:dyDescent="0.45">
      <c r="A87" t="s">
        <v>344</v>
      </c>
      <c r="B87" t="s">
        <v>325</v>
      </c>
      <c r="C87" t="s">
        <v>363</v>
      </c>
      <c r="D87" s="5">
        <f t="shared" ref="D87:D141" si="1">+D67+1</f>
        <v>45975</v>
      </c>
      <c r="E87" t="s">
        <v>79</v>
      </c>
      <c r="F87">
        <v>0.5</v>
      </c>
      <c r="G87">
        <v>20</v>
      </c>
      <c r="H87" t="s">
        <v>280</v>
      </c>
      <c r="I87" t="str">
        <f>+_xlfn.XLOOKUP($H87,Turni!$A:$A,Turni!C:C)</f>
        <v>15:00</v>
      </c>
      <c r="J87" t="str">
        <f>+_xlfn.XLOOKUP($H87,Turni!$A:$A,Turni!D:D)</f>
        <v>19:00</v>
      </c>
      <c r="AR87" t="s">
        <v>380</v>
      </c>
      <c r="AS87" t="s">
        <v>381</v>
      </c>
    </row>
    <row r="88" spans="1:45" x14ac:dyDescent="0.45">
      <c r="A88" t="s">
        <v>345</v>
      </c>
      <c r="B88" t="s">
        <v>326</v>
      </c>
      <c r="C88" t="s">
        <v>364</v>
      </c>
      <c r="D88" s="5">
        <f t="shared" si="1"/>
        <v>45975</v>
      </c>
      <c r="E88" t="s">
        <v>79</v>
      </c>
      <c r="F88">
        <v>0.5</v>
      </c>
      <c r="G88">
        <v>20</v>
      </c>
      <c r="H88" t="s">
        <v>378</v>
      </c>
      <c r="I88">
        <f>+_xlfn.XLOOKUP($H88,Turni!$A:$A,Turni!C:C)</f>
        <v>0</v>
      </c>
      <c r="J88">
        <f>+_xlfn.XLOOKUP($H88,Turni!$A:$A,Turni!D:D)</f>
        <v>0</v>
      </c>
      <c r="AR88" t="s">
        <v>380</v>
      </c>
      <c r="AS88" t="s">
        <v>381</v>
      </c>
    </row>
    <row r="89" spans="1:45" x14ac:dyDescent="0.45">
      <c r="A89" t="s">
        <v>341</v>
      </c>
      <c r="B89" t="s">
        <v>326</v>
      </c>
      <c r="C89" t="s">
        <v>365</v>
      </c>
      <c r="D89" s="5">
        <f t="shared" si="1"/>
        <v>45975</v>
      </c>
      <c r="E89" t="s">
        <v>79</v>
      </c>
      <c r="F89">
        <v>0.5</v>
      </c>
      <c r="G89">
        <v>20</v>
      </c>
      <c r="H89" t="s">
        <v>235</v>
      </c>
      <c r="I89" t="str">
        <f>+_xlfn.XLOOKUP($H89,Turni!$A:$A,Turni!C:C)</f>
        <v>10:00</v>
      </c>
      <c r="J89" t="str">
        <f>+_xlfn.XLOOKUP($H89,Turni!$A:$A,Turni!D:D)</f>
        <v>14:00</v>
      </c>
      <c r="AR89" t="s">
        <v>380</v>
      </c>
      <c r="AS89" t="s">
        <v>381</v>
      </c>
    </row>
    <row r="90" spans="1:45" x14ac:dyDescent="0.45">
      <c r="A90" t="s">
        <v>346</v>
      </c>
      <c r="B90" t="s">
        <v>327</v>
      </c>
      <c r="C90" t="s">
        <v>366</v>
      </c>
      <c r="D90" s="5">
        <f t="shared" si="1"/>
        <v>45975</v>
      </c>
      <c r="E90" t="s">
        <v>79</v>
      </c>
      <c r="F90">
        <v>0.5</v>
      </c>
      <c r="G90">
        <v>20</v>
      </c>
      <c r="H90" t="s">
        <v>295</v>
      </c>
      <c r="I90" t="str">
        <f>+_xlfn.XLOOKUP($H90,Turni!$A:$A,Turni!C:C)</f>
        <v>16:15</v>
      </c>
      <c r="J90" t="str">
        <f>+_xlfn.XLOOKUP($H90,Turni!$A:$A,Turni!D:D)</f>
        <v>20:15</v>
      </c>
      <c r="AR90" t="s">
        <v>380</v>
      </c>
      <c r="AS90" t="s">
        <v>381</v>
      </c>
    </row>
    <row r="91" spans="1:45" x14ac:dyDescent="0.45">
      <c r="A91" t="s">
        <v>347</v>
      </c>
      <c r="B91" t="s">
        <v>328</v>
      </c>
      <c r="C91" t="s">
        <v>367</v>
      </c>
      <c r="D91" s="5">
        <f t="shared" si="1"/>
        <v>45975</v>
      </c>
      <c r="E91" t="s">
        <v>79</v>
      </c>
      <c r="F91">
        <v>0.5</v>
      </c>
      <c r="G91">
        <v>20</v>
      </c>
      <c r="H91" t="s">
        <v>295</v>
      </c>
      <c r="I91" t="str">
        <f>+_xlfn.XLOOKUP($H91,Turni!$A:$A,Turni!C:C)</f>
        <v>16:15</v>
      </c>
      <c r="J91" t="str">
        <f>+_xlfn.XLOOKUP($H91,Turni!$A:$A,Turni!D:D)</f>
        <v>20:15</v>
      </c>
      <c r="AR91" t="s">
        <v>380</v>
      </c>
      <c r="AS91" t="s">
        <v>381</v>
      </c>
    </row>
    <row r="92" spans="1:45" x14ac:dyDescent="0.45">
      <c r="A92" t="s">
        <v>348</v>
      </c>
      <c r="B92" t="s">
        <v>329</v>
      </c>
      <c r="C92" t="s">
        <v>368</v>
      </c>
      <c r="D92" s="5">
        <f t="shared" si="1"/>
        <v>45975</v>
      </c>
      <c r="E92" t="s">
        <v>79</v>
      </c>
      <c r="F92">
        <v>0.5</v>
      </c>
      <c r="G92">
        <v>20</v>
      </c>
      <c r="H92" t="s">
        <v>280</v>
      </c>
      <c r="I92" t="str">
        <f>+_xlfn.XLOOKUP($H92,Turni!$A:$A,Turni!C:C)</f>
        <v>15:00</v>
      </c>
      <c r="J92" t="str">
        <f>+_xlfn.XLOOKUP($H92,Turni!$A:$A,Turni!D:D)</f>
        <v>19:00</v>
      </c>
      <c r="AR92" t="s">
        <v>380</v>
      </c>
      <c r="AS92" t="s">
        <v>381</v>
      </c>
    </row>
    <row r="93" spans="1:45" x14ac:dyDescent="0.45">
      <c r="A93" t="s">
        <v>349</v>
      </c>
      <c r="B93" t="s">
        <v>330</v>
      </c>
      <c r="C93" t="s">
        <v>369</v>
      </c>
      <c r="D93" s="5">
        <f t="shared" si="1"/>
        <v>45975</v>
      </c>
      <c r="E93" t="s">
        <v>79</v>
      </c>
      <c r="F93">
        <v>0.5</v>
      </c>
      <c r="G93">
        <v>20</v>
      </c>
      <c r="H93" t="s">
        <v>287</v>
      </c>
      <c r="I93" t="str">
        <f>+_xlfn.XLOOKUP($H93,Turni!$A:$A,Turni!C:C)</f>
        <v>15:15</v>
      </c>
      <c r="J93" t="str">
        <f>+_xlfn.XLOOKUP($H93,Turni!$A:$A,Turni!D:D)</f>
        <v>19:15</v>
      </c>
      <c r="AR93" t="s">
        <v>380</v>
      </c>
      <c r="AS93" t="s">
        <v>381</v>
      </c>
    </row>
    <row r="94" spans="1:45" x14ac:dyDescent="0.45">
      <c r="A94" t="s">
        <v>350</v>
      </c>
      <c r="B94" t="s">
        <v>331</v>
      </c>
      <c r="C94" t="s">
        <v>370</v>
      </c>
      <c r="D94" s="5">
        <f t="shared" si="1"/>
        <v>45975</v>
      </c>
      <c r="E94" t="s">
        <v>79</v>
      </c>
      <c r="F94">
        <v>0.5</v>
      </c>
      <c r="G94">
        <v>20</v>
      </c>
      <c r="H94" t="s">
        <v>225</v>
      </c>
      <c r="I94" t="str">
        <f>+_xlfn.XLOOKUP($H94,Turni!$A:$A,Turni!C:C)</f>
        <v>09:00</v>
      </c>
      <c r="J94" t="str">
        <f>+_xlfn.XLOOKUP($H94,Turni!$A:$A,Turni!D:D)</f>
        <v>13:00</v>
      </c>
      <c r="AR94" t="s">
        <v>380</v>
      </c>
      <c r="AS94" t="s">
        <v>381</v>
      </c>
    </row>
    <row r="95" spans="1:45" x14ac:dyDescent="0.45">
      <c r="A95" t="s">
        <v>351</v>
      </c>
      <c r="B95" t="s">
        <v>332</v>
      </c>
      <c r="C95" t="s">
        <v>371</v>
      </c>
      <c r="D95" s="5">
        <f t="shared" si="1"/>
        <v>45975</v>
      </c>
      <c r="E95" t="s">
        <v>79</v>
      </c>
      <c r="F95">
        <v>0.5</v>
      </c>
      <c r="G95">
        <v>20</v>
      </c>
      <c r="H95" t="s">
        <v>378</v>
      </c>
      <c r="I95">
        <f>+_xlfn.XLOOKUP($H95,Turni!$A:$A,Turni!C:C)</f>
        <v>0</v>
      </c>
      <c r="J95">
        <f>+_xlfn.XLOOKUP($H95,Turni!$A:$A,Turni!D:D)</f>
        <v>0</v>
      </c>
      <c r="AR95" t="s">
        <v>380</v>
      </c>
      <c r="AS95" t="s">
        <v>381</v>
      </c>
    </row>
    <row r="96" spans="1:45" x14ac:dyDescent="0.45">
      <c r="A96" t="s">
        <v>352</v>
      </c>
      <c r="B96" t="s">
        <v>333</v>
      </c>
      <c r="C96" t="s">
        <v>372</v>
      </c>
      <c r="D96" s="5">
        <f t="shared" si="1"/>
        <v>45975</v>
      </c>
      <c r="E96" t="s">
        <v>79</v>
      </c>
      <c r="F96">
        <v>0.5</v>
      </c>
      <c r="G96">
        <v>20</v>
      </c>
      <c r="H96" t="s">
        <v>287</v>
      </c>
      <c r="I96" t="str">
        <f>+_xlfn.XLOOKUP($H96,Turni!$A:$A,Turni!C:C)</f>
        <v>15:15</v>
      </c>
      <c r="J96" t="str">
        <f>+_xlfn.XLOOKUP($H96,Turni!$A:$A,Turni!D:D)</f>
        <v>19:15</v>
      </c>
      <c r="AR96" t="s">
        <v>380</v>
      </c>
      <c r="AS96" t="s">
        <v>381</v>
      </c>
    </row>
    <row r="97" spans="1:45" x14ac:dyDescent="0.45">
      <c r="A97" t="s">
        <v>353</v>
      </c>
      <c r="B97" t="s">
        <v>334</v>
      </c>
      <c r="C97" t="s">
        <v>373</v>
      </c>
      <c r="D97" s="5">
        <f t="shared" si="1"/>
        <v>45975</v>
      </c>
      <c r="E97" t="s">
        <v>79</v>
      </c>
      <c r="F97">
        <v>0.5</v>
      </c>
      <c r="G97">
        <v>20</v>
      </c>
      <c r="H97" t="s">
        <v>280</v>
      </c>
      <c r="I97" t="str">
        <f>+_xlfn.XLOOKUP($H97,Turni!$A:$A,Turni!C:C)</f>
        <v>15:00</v>
      </c>
      <c r="J97" t="str">
        <f>+_xlfn.XLOOKUP($H97,Turni!$A:$A,Turni!D:D)</f>
        <v>19:00</v>
      </c>
      <c r="AR97" t="s">
        <v>380</v>
      </c>
      <c r="AS97" t="s">
        <v>381</v>
      </c>
    </row>
    <row r="98" spans="1:45" x14ac:dyDescent="0.45">
      <c r="A98" t="s">
        <v>354</v>
      </c>
      <c r="B98" t="s">
        <v>335</v>
      </c>
      <c r="C98" t="s">
        <v>374</v>
      </c>
      <c r="D98" s="5">
        <f t="shared" si="1"/>
        <v>45975</v>
      </c>
      <c r="E98" t="s">
        <v>79</v>
      </c>
      <c r="F98">
        <v>0.5</v>
      </c>
      <c r="G98">
        <v>20</v>
      </c>
      <c r="H98" t="s">
        <v>280</v>
      </c>
      <c r="I98" t="str">
        <f>+_xlfn.XLOOKUP($H98,Turni!$A:$A,Turni!C:C)</f>
        <v>15:00</v>
      </c>
      <c r="J98" t="str">
        <f>+_xlfn.XLOOKUP($H98,Turni!$A:$A,Turni!D:D)</f>
        <v>19:00</v>
      </c>
      <c r="AR98" t="s">
        <v>380</v>
      </c>
      <c r="AS98" t="s">
        <v>381</v>
      </c>
    </row>
    <row r="99" spans="1:45" x14ac:dyDescent="0.45">
      <c r="A99" t="s">
        <v>355</v>
      </c>
      <c r="B99" t="s">
        <v>336</v>
      </c>
      <c r="C99" t="s">
        <v>375</v>
      </c>
      <c r="D99" s="5">
        <f t="shared" si="1"/>
        <v>45975</v>
      </c>
      <c r="E99" t="s">
        <v>79</v>
      </c>
      <c r="F99">
        <v>0.5</v>
      </c>
      <c r="G99">
        <v>20</v>
      </c>
      <c r="H99" t="s">
        <v>238</v>
      </c>
      <c r="I99" t="str">
        <f>+_xlfn.XLOOKUP($H99,Turni!$A:$A,Turni!C:C)</f>
        <v>10:15</v>
      </c>
      <c r="J99" t="str">
        <f>+_xlfn.XLOOKUP($H99,Turni!$A:$A,Turni!D:D)</f>
        <v>14:15</v>
      </c>
      <c r="AR99" t="s">
        <v>380</v>
      </c>
      <c r="AS99" t="s">
        <v>381</v>
      </c>
    </row>
    <row r="100" spans="1:45" x14ac:dyDescent="0.45">
      <c r="A100" t="s">
        <v>356</v>
      </c>
      <c r="B100" t="s">
        <v>337</v>
      </c>
      <c r="C100" t="s">
        <v>376</v>
      </c>
      <c r="D100" s="5">
        <f t="shared" si="1"/>
        <v>45975</v>
      </c>
      <c r="E100" t="s">
        <v>79</v>
      </c>
      <c r="F100">
        <v>0.5</v>
      </c>
      <c r="G100">
        <v>20</v>
      </c>
      <c r="H100" t="s">
        <v>287</v>
      </c>
      <c r="I100" t="str">
        <f>+_xlfn.XLOOKUP($H100,Turni!$A:$A,Turni!C:C)</f>
        <v>15:15</v>
      </c>
      <c r="J100" t="str">
        <f>+_xlfn.XLOOKUP($H100,Turni!$A:$A,Turni!D:D)</f>
        <v>19:15</v>
      </c>
      <c r="AR100" t="s">
        <v>380</v>
      </c>
      <c r="AS100" t="s">
        <v>381</v>
      </c>
    </row>
    <row r="101" spans="1:45" x14ac:dyDescent="0.45">
      <c r="A101" t="s">
        <v>357</v>
      </c>
      <c r="B101" t="s">
        <v>338</v>
      </c>
      <c r="C101" t="s">
        <v>377</v>
      </c>
      <c r="D101" s="5">
        <f t="shared" si="1"/>
        <v>45975</v>
      </c>
      <c r="E101" t="s">
        <v>79</v>
      </c>
      <c r="F101">
        <v>0.5</v>
      </c>
      <c r="G101">
        <v>20</v>
      </c>
      <c r="H101" t="s">
        <v>378</v>
      </c>
      <c r="I101">
        <f>+_xlfn.XLOOKUP($H101,Turni!$A:$A,Turni!C:C)</f>
        <v>0</v>
      </c>
      <c r="J101">
        <f>+_xlfn.XLOOKUP($H101,Turni!$A:$A,Turni!D:D)</f>
        <v>0</v>
      </c>
      <c r="AR101" t="s">
        <v>380</v>
      </c>
      <c r="AS101" t="s">
        <v>381</v>
      </c>
    </row>
    <row r="102" spans="1:45" x14ac:dyDescent="0.45">
      <c r="A102" t="s">
        <v>339</v>
      </c>
      <c r="B102" t="s">
        <v>320</v>
      </c>
      <c r="C102" t="s">
        <v>358</v>
      </c>
      <c r="D102" s="5">
        <f t="shared" si="1"/>
        <v>45976</v>
      </c>
      <c r="E102" t="s">
        <v>79</v>
      </c>
      <c r="F102">
        <v>0.5</v>
      </c>
      <c r="G102">
        <v>20</v>
      </c>
      <c r="H102" t="s">
        <v>235</v>
      </c>
      <c r="I102" t="str">
        <f>+_xlfn.XLOOKUP($H102,Turni!$A:$A,Turni!C:C)</f>
        <v>10:00</v>
      </c>
      <c r="J102" t="str">
        <f>+_xlfn.XLOOKUP($H102,Turni!$A:$A,Turni!D:D)</f>
        <v>14:00</v>
      </c>
      <c r="AR102" t="s">
        <v>380</v>
      </c>
      <c r="AS102" t="s">
        <v>381</v>
      </c>
    </row>
    <row r="103" spans="1:45" x14ac:dyDescent="0.45">
      <c r="A103" t="s">
        <v>340</v>
      </c>
      <c r="B103" t="s">
        <v>321</v>
      </c>
      <c r="C103" t="s">
        <v>359</v>
      </c>
      <c r="D103" s="5">
        <f t="shared" si="1"/>
        <v>45976</v>
      </c>
      <c r="E103" t="s">
        <v>79</v>
      </c>
      <c r="F103">
        <v>0.5</v>
      </c>
      <c r="G103">
        <v>20</v>
      </c>
      <c r="H103" t="s">
        <v>378</v>
      </c>
      <c r="I103">
        <f>+_xlfn.XLOOKUP($H103,Turni!$A:$A,Turni!C:C)</f>
        <v>0</v>
      </c>
      <c r="J103">
        <f>+_xlfn.XLOOKUP($H103,Turni!$A:$A,Turni!D:D)</f>
        <v>0</v>
      </c>
      <c r="AR103" t="s">
        <v>380</v>
      </c>
      <c r="AS103" t="s">
        <v>381</v>
      </c>
    </row>
    <row r="104" spans="1:45" x14ac:dyDescent="0.45">
      <c r="A104" t="s">
        <v>341</v>
      </c>
      <c r="B104" t="s">
        <v>322</v>
      </c>
      <c r="C104" t="s">
        <v>360</v>
      </c>
      <c r="D104" s="5">
        <f t="shared" si="1"/>
        <v>45976</v>
      </c>
      <c r="E104" t="s">
        <v>79</v>
      </c>
      <c r="F104">
        <v>0.5</v>
      </c>
      <c r="G104">
        <v>20</v>
      </c>
      <c r="H104" t="s">
        <v>280</v>
      </c>
      <c r="I104" t="str">
        <f>+_xlfn.XLOOKUP($H104,Turni!$A:$A,Turni!C:C)</f>
        <v>15:00</v>
      </c>
      <c r="J104" t="str">
        <f>+_xlfn.XLOOKUP($H104,Turni!$A:$A,Turni!D:D)</f>
        <v>19:00</v>
      </c>
      <c r="AR104" t="s">
        <v>380</v>
      </c>
      <c r="AS104" t="s">
        <v>381</v>
      </c>
    </row>
    <row r="105" spans="1:45" x14ac:dyDescent="0.45">
      <c r="A105" t="s">
        <v>342</v>
      </c>
      <c r="B105" t="s">
        <v>323</v>
      </c>
      <c r="C105" t="s">
        <v>361</v>
      </c>
      <c r="D105" s="5">
        <f t="shared" si="1"/>
        <v>45976</v>
      </c>
      <c r="E105" t="s">
        <v>79</v>
      </c>
      <c r="F105">
        <v>0.5</v>
      </c>
      <c r="G105">
        <v>20</v>
      </c>
      <c r="H105" t="s">
        <v>235</v>
      </c>
      <c r="I105" t="str">
        <f>+_xlfn.XLOOKUP($H105,Turni!$A:$A,Turni!C:C)</f>
        <v>10:00</v>
      </c>
      <c r="J105" t="str">
        <f>+_xlfn.XLOOKUP($H105,Turni!$A:$A,Turni!D:D)</f>
        <v>14:00</v>
      </c>
      <c r="AR105" t="s">
        <v>380</v>
      </c>
      <c r="AS105" t="s">
        <v>381</v>
      </c>
    </row>
    <row r="106" spans="1:45" x14ac:dyDescent="0.45">
      <c r="A106" t="s">
        <v>343</v>
      </c>
      <c r="B106" t="s">
        <v>324</v>
      </c>
      <c r="C106" t="s">
        <v>362</v>
      </c>
      <c r="D106" s="5">
        <f t="shared" si="1"/>
        <v>45976</v>
      </c>
      <c r="E106" t="s">
        <v>79</v>
      </c>
      <c r="F106">
        <v>0.5</v>
      </c>
      <c r="G106">
        <v>20</v>
      </c>
      <c r="H106" t="s">
        <v>280</v>
      </c>
      <c r="I106" t="str">
        <f>+_xlfn.XLOOKUP($H106,Turni!$A:$A,Turni!C:C)</f>
        <v>15:00</v>
      </c>
      <c r="J106" t="str">
        <f>+_xlfn.XLOOKUP($H106,Turni!$A:$A,Turni!D:D)</f>
        <v>19:00</v>
      </c>
      <c r="AR106" t="s">
        <v>380</v>
      </c>
      <c r="AS106" t="s">
        <v>381</v>
      </c>
    </row>
    <row r="107" spans="1:45" x14ac:dyDescent="0.45">
      <c r="A107" t="s">
        <v>344</v>
      </c>
      <c r="B107" t="s">
        <v>325</v>
      </c>
      <c r="C107" t="s">
        <v>363</v>
      </c>
      <c r="D107" s="5">
        <f t="shared" si="1"/>
        <v>45976</v>
      </c>
      <c r="E107" t="s">
        <v>79</v>
      </c>
      <c r="F107">
        <v>0.5</v>
      </c>
      <c r="G107">
        <v>20</v>
      </c>
      <c r="H107" t="s">
        <v>378</v>
      </c>
      <c r="I107">
        <f>+_xlfn.XLOOKUP($H107,Turni!$A:$A,Turni!C:C)</f>
        <v>0</v>
      </c>
      <c r="J107">
        <f>+_xlfn.XLOOKUP($H107,Turni!$A:$A,Turni!D:D)</f>
        <v>0</v>
      </c>
      <c r="AR107" t="s">
        <v>380</v>
      </c>
      <c r="AS107" t="s">
        <v>381</v>
      </c>
    </row>
    <row r="108" spans="1:45" x14ac:dyDescent="0.45">
      <c r="A108" t="s">
        <v>345</v>
      </c>
      <c r="B108" t="s">
        <v>326</v>
      </c>
      <c r="C108" t="s">
        <v>364</v>
      </c>
      <c r="D108" s="5">
        <f t="shared" si="1"/>
        <v>45976</v>
      </c>
      <c r="E108" t="s">
        <v>79</v>
      </c>
      <c r="F108">
        <v>0.5</v>
      </c>
      <c r="G108">
        <v>20</v>
      </c>
      <c r="H108" t="s">
        <v>235</v>
      </c>
      <c r="I108" t="str">
        <f>+_xlfn.XLOOKUP($H108,Turni!$A:$A,Turni!C:C)</f>
        <v>10:00</v>
      </c>
      <c r="J108" t="str">
        <f>+_xlfn.XLOOKUP($H108,Turni!$A:$A,Turni!D:D)</f>
        <v>14:00</v>
      </c>
      <c r="AR108" t="s">
        <v>380</v>
      </c>
      <c r="AS108" t="s">
        <v>381</v>
      </c>
    </row>
    <row r="109" spans="1:45" x14ac:dyDescent="0.45">
      <c r="A109" t="s">
        <v>341</v>
      </c>
      <c r="B109" t="s">
        <v>326</v>
      </c>
      <c r="C109" t="s">
        <v>365</v>
      </c>
      <c r="D109" s="5">
        <f t="shared" si="1"/>
        <v>45976</v>
      </c>
      <c r="E109" t="s">
        <v>79</v>
      </c>
      <c r="F109">
        <v>0.5</v>
      </c>
      <c r="G109">
        <v>20</v>
      </c>
      <c r="H109" t="s">
        <v>235</v>
      </c>
      <c r="I109" t="str">
        <f>+_xlfn.XLOOKUP($H109,Turni!$A:$A,Turni!C:C)</f>
        <v>10:00</v>
      </c>
      <c r="J109" t="str">
        <f>+_xlfn.XLOOKUP($H109,Turni!$A:$A,Turni!D:D)</f>
        <v>14:00</v>
      </c>
      <c r="AR109" t="s">
        <v>380</v>
      </c>
      <c r="AS109" t="s">
        <v>381</v>
      </c>
    </row>
    <row r="110" spans="1:45" x14ac:dyDescent="0.45">
      <c r="A110" t="s">
        <v>346</v>
      </c>
      <c r="B110" t="s">
        <v>327</v>
      </c>
      <c r="C110" t="s">
        <v>366</v>
      </c>
      <c r="D110" s="5">
        <f t="shared" si="1"/>
        <v>45976</v>
      </c>
      <c r="E110" t="s">
        <v>79</v>
      </c>
      <c r="F110">
        <v>0.5</v>
      </c>
      <c r="G110">
        <v>20</v>
      </c>
      <c r="H110" t="s">
        <v>280</v>
      </c>
      <c r="I110" t="str">
        <f>+_xlfn.XLOOKUP($H110,Turni!$A:$A,Turni!C:C)</f>
        <v>15:00</v>
      </c>
      <c r="J110" t="str">
        <f>+_xlfn.XLOOKUP($H110,Turni!$A:$A,Turni!D:D)</f>
        <v>19:00</v>
      </c>
      <c r="AR110" t="s">
        <v>380</v>
      </c>
      <c r="AS110" t="s">
        <v>381</v>
      </c>
    </row>
    <row r="111" spans="1:45" x14ac:dyDescent="0.45">
      <c r="A111" t="s">
        <v>347</v>
      </c>
      <c r="B111" t="s">
        <v>328</v>
      </c>
      <c r="C111" t="s">
        <v>367</v>
      </c>
      <c r="D111" s="5">
        <f t="shared" si="1"/>
        <v>45976</v>
      </c>
      <c r="E111" t="s">
        <v>79</v>
      </c>
      <c r="F111">
        <v>0.5</v>
      </c>
      <c r="G111">
        <v>20</v>
      </c>
      <c r="H111" t="s">
        <v>280</v>
      </c>
      <c r="I111" t="str">
        <f>+_xlfn.XLOOKUP($H111,Turni!$A:$A,Turni!C:C)</f>
        <v>15:00</v>
      </c>
      <c r="J111" t="str">
        <f>+_xlfn.XLOOKUP($H111,Turni!$A:$A,Turni!D:D)</f>
        <v>19:00</v>
      </c>
      <c r="AR111" t="s">
        <v>380</v>
      </c>
      <c r="AS111" t="s">
        <v>381</v>
      </c>
    </row>
    <row r="112" spans="1:45" x14ac:dyDescent="0.45">
      <c r="A112" t="s">
        <v>348</v>
      </c>
      <c r="B112" t="s">
        <v>329</v>
      </c>
      <c r="C112" t="s">
        <v>368</v>
      </c>
      <c r="D112" s="5">
        <f t="shared" si="1"/>
        <v>45976</v>
      </c>
      <c r="E112" t="s">
        <v>79</v>
      </c>
      <c r="F112">
        <v>0.5</v>
      </c>
      <c r="G112">
        <v>20</v>
      </c>
      <c r="H112" t="s">
        <v>378</v>
      </c>
      <c r="I112">
        <f>+_xlfn.XLOOKUP($H112,Turni!$A:$A,Turni!C:C)</f>
        <v>0</v>
      </c>
      <c r="J112">
        <f>+_xlfn.XLOOKUP($H112,Turni!$A:$A,Turni!D:D)</f>
        <v>0</v>
      </c>
      <c r="AR112" t="s">
        <v>380</v>
      </c>
      <c r="AS112" t="s">
        <v>381</v>
      </c>
    </row>
    <row r="113" spans="1:45" x14ac:dyDescent="0.45">
      <c r="A113" t="s">
        <v>349</v>
      </c>
      <c r="B113" t="s">
        <v>330</v>
      </c>
      <c r="C113" t="s">
        <v>369</v>
      </c>
      <c r="D113" s="5">
        <f t="shared" si="1"/>
        <v>45976</v>
      </c>
      <c r="E113" t="s">
        <v>79</v>
      </c>
      <c r="F113">
        <v>0.5</v>
      </c>
      <c r="G113">
        <v>20</v>
      </c>
      <c r="H113" t="s">
        <v>378</v>
      </c>
      <c r="I113">
        <f>+_xlfn.XLOOKUP($H113,Turni!$A:$A,Turni!C:C)</f>
        <v>0</v>
      </c>
      <c r="J113">
        <f>+_xlfn.XLOOKUP($H113,Turni!$A:$A,Turni!D:D)</f>
        <v>0</v>
      </c>
      <c r="AR113" t="s">
        <v>380</v>
      </c>
      <c r="AS113" t="s">
        <v>381</v>
      </c>
    </row>
    <row r="114" spans="1:45" x14ac:dyDescent="0.45">
      <c r="A114" t="s">
        <v>350</v>
      </c>
      <c r="B114" t="s">
        <v>331</v>
      </c>
      <c r="C114" t="s">
        <v>370</v>
      </c>
      <c r="D114" s="5">
        <f t="shared" si="1"/>
        <v>45976</v>
      </c>
      <c r="E114" t="s">
        <v>79</v>
      </c>
      <c r="F114">
        <v>0.5</v>
      </c>
      <c r="G114">
        <v>20</v>
      </c>
      <c r="H114" t="s">
        <v>378</v>
      </c>
      <c r="I114">
        <f>+_xlfn.XLOOKUP($H114,Turni!$A:$A,Turni!C:C)</f>
        <v>0</v>
      </c>
      <c r="J114">
        <f>+_xlfn.XLOOKUP($H114,Turni!$A:$A,Turni!D:D)</f>
        <v>0</v>
      </c>
      <c r="AR114" t="s">
        <v>380</v>
      </c>
      <c r="AS114" t="s">
        <v>381</v>
      </c>
    </row>
    <row r="115" spans="1:45" x14ac:dyDescent="0.45">
      <c r="A115" t="s">
        <v>351</v>
      </c>
      <c r="B115" t="s">
        <v>332</v>
      </c>
      <c r="C115" t="s">
        <v>371</v>
      </c>
      <c r="D115" s="5">
        <f t="shared" si="1"/>
        <v>45976</v>
      </c>
      <c r="E115" t="s">
        <v>79</v>
      </c>
      <c r="F115">
        <v>0.5</v>
      </c>
      <c r="G115">
        <v>20</v>
      </c>
      <c r="H115" t="s">
        <v>280</v>
      </c>
      <c r="I115" t="str">
        <f>+_xlfn.XLOOKUP($H115,Turni!$A:$A,Turni!C:C)</f>
        <v>15:00</v>
      </c>
      <c r="J115" t="str">
        <f>+_xlfn.XLOOKUP($H115,Turni!$A:$A,Turni!D:D)</f>
        <v>19:00</v>
      </c>
      <c r="AR115" t="s">
        <v>380</v>
      </c>
      <c r="AS115" t="s">
        <v>381</v>
      </c>
    </row>
    <row r="116" spans="1:45" x14ac:dyDescent="0.45">
      <c r="A116" t="s">
        <v>352</v>
      </c>
      <c r="B116" t="s">
        <v>333</v>
      </c>
      <c r="C116" t="s">
        <v>372</v>
      </c>
      <c r="D116" s="5">
        <f t="shared" si="1"/>
        <v>45976</v>
      </c>
      <c r="E116" t="s">
        <v>79</v>
      </c>
      <c r="F116">
        <v>0.5</v>
      </c>
      <c r="G116">
        <v>20</v>
      </c>
      <c r="H116" t="s">
        <v>378</v>
      </c>
      <c r="I116">
        <f>+_xlfn.XLOOKUP($H116,Turni!$A:$A,Turni!C:C)</f>
        <v>0</v>
      </c>
      <c r="J116">
        <f>+_xlfn.XLOOKUP($H116,Turni!$A:$A,Turni!D:D)</f>
        <v>0</v>
      </c>
      <c r="AR116" t="s">
        <v>380</v>
      </c>
      <c r="AS116" t="s">
        <v>381</v>
      </c>
    </row>
    <row r="117" spans="1:45" x14ac:dyDescent="0.45">
      <c r="A117" t="s">
        <v>353</v>
      </c>
      <c r="B117" t="s">
        <v>334</v>
      </c>
      <c r="C117" t="s">
        <v>373</v>
      </c>
      <c r="D117" s="5">
        <f t="shared" si="1"/>
        <v>45976</v>
      </c>
      <c r="E117" t="s">
        <v>79</v>
      </c>
      <c r="F117">
        <v>0.5</v>
      </c>
      <c r="G117">
        <v>20</v>
      </c>
      <c r="H117" t="s">
        <v>280</v>
      </c>
      <c r="I117" t="str">
        <f>+_xlfn.XLOOKUP($H117,Turni!$A:$A,Turni!C:C)</f>
        <v>15:00</v>
      </c>
      <c r="J117" t="str">
        <f>+_xlfn.XLOOKUP($H117,Turni!$A:$A,Turni!D:D)</f>
        <v>19:00</v>
      </c>
      <c r="AR117" t="s">
        <v>380</v>
      </c>
      <c r="AS117" t="s">
        <v>381</v>
      </c>
    </row>
    <row r="118" spans="1:45" x14ac:dyDescent="0.45">
      <c r="A118" t="s">
        <v>354</v>
      </c>
      <c r="B118" t="s">
        <v>335</v>
      </c>
      <c r="C118" t="s">
        <v>374</v>
      </c>
      <c r="D118" s="5">
        <f t="shared" si="1"/>
        <v>45976</v>
      </c>
      <c r="E118" t="s">
        <v>79</v>
      </c>
      <c r="F118">
        <v>0.5</v>
      </c>
      <c r="G118">
        <v>20</v>
      </c>
      <c r="H118" t="s">
        <v>280</v>
      </c>
      <c r="I118" t="str">
        <f>+_xlfn.XLOOKUP($H118,Turni!$A:$A,Turni!C:C)</f>
        <v>15:00</v>
      </c>
      <c r="J118" t="str">
        <f>+_xlfn.XLOOKUP($H118,Turni!$A:$A,Turni!D:D)</f>
        <v>19:00</v>
      </c>
      <c r="AR118" t="s">
        <v>380</v>
      </c>
      <c r="AS118" t="s">
        <v>381</v>
      </c>
    </row>
    <row r="119" spans="1:45" x14ac:dyDescent="0.45">
      <c r="A119" t="s">
        <v>355</v>
      </c>
      <c r="B119" t="s">
        <v>336</v>
      </c>
      <c r="C119" t="s">
        <v>375</v>
      </c>
      <c r="D119" s="5">
        <f t="shared" si="1"/>
        <v>45976</v>
      </c>
      <c r="E119" t="s">
        <v>79</v>
      </c>
      <c r="F119">
        <v>0.5</v>
      </c>
      <c r="G119">
        <v>20</v>
      </c>
      <c r="H119" t="s">
        <v>235</v>
      </c>
      <c r="I119" t="str">
        <f>+_xlfn.XLOOKUP($H119,Turni!$A:$A,Turni!C:C)</f>
        <v>10:00</v>
      </c>
      <c r="J119" t="str">
        <f>+_xlfn.XLOOKUP($H119,Turni!$A:$A,Turni!D:D)</f>
        <v>14:00</v>
      </c>
      <c r="AR119" t="s">
        <v>380</v>
      </c>
      <c r="AS119" t="s">
        <v>381</v>
      </c>
    </row>
    <row r="120" spans="1:45" x14ac:dyDescent="0.45">
      <c r="A120" t="s">
        <v>356</v>
      </c>
      <c r="B120" t="s">
        <v>337</v>
      </c>
      <c r="C120" t="s">
        <v>376</v>
      </c>
      <c r="D120" s="5">
        <f t="shared" si="1"/>
        <v>45976</v>
      </c>
      <c r="E120" t="s">
        <v>79</v>
      </c>
      <c r="F120">
        <v>0.5</v>
      </c>
      <c r="G120">
        <v>20</v>
      </c>
      <c r="H120" t="s">
        <v>280</v>
      </c>
      <c r="I120" t="str">
        <f>+_xlfn.XLOOKUP($H120,Turni!$A:$A,Turni!C:C)</f>
        <v>15:00</v>
      </c>
      <c r="J120" t="str">
        <f>+_xlfn.XLOOKUP($H120,Turni!$A:$A,Turni!D:D)</f>
        <v>19:00</v>
      </c>
      <c r="AR120" t="s">
        <v>380</v>
      </c>
      <c r="AS120" t="s">
        <v>381</v>
      </c>
    </row>
    <row r="121" spans="1:45" x14ac:dyDescent="0.45">
      <c r="A121" t="s">
        <v>357</v>
      </c>
      <c r="B121" t="s">
        <v>338</v>
      </c>
      <c r="C121" t="s">
        <v>377</v>
      </c>
      <c r="D121" s="5">
        <f t="shared" si="1"/>
        <v>45976</v>
      </c>
      <c r="E121" t="s">
        <v>79</v>
      </c>
      <c r="F121">
        <v>0.5</v>
      </c>
      <c r="G121">
        <v>20</v>
      </c>
      <c r="H121" t="s">
        <v>235</v>
      </c>
      <c r="I121" t="str">
        <f>+_xlfn.XLOOKUP($H121,Turni!$A:$A,Turni!C:C)</f>
        <v>10:00</v>
      </c>
      <c r="J121" t="str">
        <f>+_xlfn.XLOOKUP($H121,Turni!$A:$A,Turni!D:D)</f>
        <v>14:00</v>
      </c>
      <c r="AR121" t="s">
        <v>380</v>
      </c>
      <c r="AS121" t="s">
        <v>381</v>
      </c>
    </row>
    <row r="122" spans="1:45" x14ac:dyDescent="0.45">
      <c r="A122" t="s">
        <v>339</v>
      </c>
      <c r="B122" t="s">
        <v>320</v>
      </c>
      <c r="C122" t="s">
        <v>358</v>
      </c>
      <c r="D122" s="5">
        <f t="shared" si="1"/>
        <v>45977</v>
      </c>
      <c r="E122" t="s">
        <v>79</v>
      </c>
      <c r="F122">
        <v>0.5</v>
      </c>
      <c r="G122">
        <v>20</v>
      </c>
      <c r="H122" t="s">
        <v>378</v>
      </c>
      <c r="I122">
        <f>+_xlfn.XLOOKUP($H122,Turni!$A:$A,Turni!C:C)</f>
        <v>0</v>
      </c>
      <c r="J122">
        <f>+_xlfn.XLOOKUP($H122,Turni!$A:$A,Turni!D:D)</f>
        <v>0</v>
      </c>
      <c r="AR122" t="s">
        <v>380</v>
      </c>
      <c r="AS122" t="s">
        <v>381</v>
      </c>
    </row>
    <row r="123" spans="1:45" x14ac:dyDescent="0.45">
      <c r="A123" t="s">
        <v>340</v>
      </c>
      <c r="B123" t="s">
        <v>321</v>
      </c>
      <c r="C123" t="s">
        <v>359</v>
      </c>
      <c r="D123" s="5">
        <f t="shared" si="1"/>
        <v>45977</v>
      </c>
      <c r="E123" t="s">
        <v>79</v>
      </c>
      <c r="F123">
        <v>0.5</v>
      </c>
      <c r="G123">
        <v>20</v>
      </c>
      <c r="H123" t="s">
        <v>378</v>
      </c>
      <c r="I123">
        <f>+_xlfn.XLOOKUP($H123,Turni!$A:$A,Turni!C:C)</f>
        <v>0</v>
      </c>
      <c r="J123">
        <f>+_xlfn.XLOOKUP($H123,Turni!$A:$A,Turni!D:D)</f>
        <v>0</v>
      </c>
      <c r="AR123" t="s">
        <v>380</v>
      </c>
      <c r="AS123" t="s">
        <v>381</v>
      </c>
    </row>
    <row r="124" spans="1:45" x14ac:dyDescent="0.45">
      <c r="A124" t="s">
        <v>341</v>
      </c>
      <c r="B124" t="s">
        <v>322</v>
      </c>
      <c r="C124" t="s">
        <v>360</v>
      </c>
      <c r="D124" s="5">
        <f t="shared" si="1"/>
        <v>45977</v>
      </c>
      <c r="E124" t="s">
        <v>79</v>
      </c>
      <c r="F124">
        <v>0.5</v>
      </c>
      <c r="G124">
        <v>20</v>
      </c>
      <c r="H124" t="s">
        <v>378</v>
      </c>
      <c r="I124">
        <f>+_xlfn.XLOOKUP($H124,Turni!$A:$A,Turni!C:C)</f>
        <v>0</v>
      </c>
      <c r="J124">
        <f>+_xlfn.XLOOKUP($H124,Turni!$A:$A,Turni!D:D)</f>
        <v>0</v>
      </c>
      <c r="AR124" t="s">
        <v>380</v>
      </c>
      <c r="AS124" t="s">
        <v>381</v>
      </c>
    </row>
    <row r="125" spans="1:45" x14ac:dyDescent="0.45">
      <c r="A125" t="s">
        <v>342</v>
      </c>
      <c r="B125" t="s">
        <v>323</v>
      </c>
      <c r="C125" t="s">
        <v>361</v>
      </c>
      <c r="D125" s="5">
        <f t="shared" si="1"/>
        <v>45977</v>
      </c>
      <c r="E125" t="s">
        <v>79</v>
      </c>
      <c r="F125">
        <v>0.5</v>
      </c>
      <c r="G125">
        <v>20</v>
      </c>
      <c r="H125" t="s">
        <v>378</v>
      </c>
      <c r="I125">
        <f>+_xlfn.XLOOKUP($H125,Turni!$A:$A,Turni!C:C)</f>
        <v>0</v>
      </c>
      <c r="J125">
        <f>+_xlfn.XLOOKUP($H125,Turni!$A:$A,Turni!D:D)</f>
        <v>0</v>
      </c>
      <c r="AR125" t="s">
        <v>380</v>
      </c>
      <c r="AS125" t="s">
        <v>381</v>
      </c>
    </row>
    <row r="126" spans="1:45" x14ac:dyDescent="0.45">
      <c r="A126" t="s">
        <v>343</v>
      </c>
      <c r="B126" t="s">
        <v>324</v>
      </c>
      <c r="C126" t="s">
        <v>362</v>
      </c>
      <c r="D126" s="5">
        <f t="shared" si="1"/>
        <v>45977</v>
      </c>
      <c r="E126" t="s">
        <v>79</v>
      </c>
      <c r="F126">
        <v>0.5</v>
      </c>
      <c r="G126">
        <v>20</v>
      </c>
      <c r="H126" t="s">
        <v>378</v>
      </c>
      <c r="I126">
        <f>+_xlfn.XLOOKUP($H126,Turni!$A:$A,Turni!C:C)</f>
        <v>0</v>
      </c>
      <c r="J126">
        <f>+_xlfn.XLOOKUP($H126,Turni!$A:$A,Turni!D:D)</f>
        <v>0</v>
      </c>
      <c r="AR126" t="s">
        <v>380</v>
      </c>
      <c r="AS126" t="s">
        <v>381</v>
      </c>
    </row>
    <row r="127" spans="1:45" x14ac:dyDescent="0.45">
      <c r="A127" t="s">
        <v>344</v>
      </c>
      <c r="B127" t="s">
        <v>325</v>
      </c>
      <c r="C127" t="s">
        <v>363</v>
      </c>
      <c r="D127" s="5">
        <f t="shared" si="1"/>
        <v>45977</v>
      </c>
      <c r="E127" t="s">
        <v>79</v>
      </c>
      <c r="F127">
        <v>0.5</v>
      </c>
      <c r="G127">
        <v>20</v>
      </c>
      <c r="H127" t="s">
        <v>378</v>
      </c>
      <c r="I127">
        <f>+_xlfn.XLOOKUP($H127,Turni!$A:$A,Turni!C:C)</f>
        <v>0</v>
      </c>
      <c r="J127">
        <f>+_xlfn.XLOOKUP($H127,Turni!$A:$A,Turni!D:D)</f>
        <v>0</v>
      </c>
      <c r="AR127" t="s">
        <v>380</v>
      </c>
      <c r="AS127" t="s">
        <v>381</v>
      </c>
    </row>
    <row r="128" spans="1:45" x14ac:dyDescent="0.45">
      <c r="A128" t="s">
        <v>345</v>
      </c>
      <c r="B128" t="s">
        <v>326</v>
      </c>
      <c r="C128" t="s">
        <v>364</v>
      </c>
      <c r="D128" s="5">
        <f t="shared" si="1"/>
        <v>45977</v>
      </c>
      <c r="E128" t="s">
        <v>79</v>
      </c>
      <c r="F128">
        <v>0.5</v>
      </c>
      <c r="G128">
        <v>20</v>
      </c>
      <c r="H128" t="s">
        <v>378</v>
      </c>
      <c r="I128">
        <f>+_xlfn.XLOOKUP($H128,Turni!$A:$A,Turni!C:C)</f>
        <v>0</v>
      </c>
      <c r="J128">
        <f>+_xlfn.XLOOKUP($H128,Turni!$A:$A,Turni!D:D)</f>
        <v>0</v>
      </c>
      <c r="AR128" t="s">
        <v>380</v>
      </c>
      <c r="AS128" t="s">
        <v>381</v>
      </c>
    </row>
    <row r="129" spans="1:45" x14ac:dyDescent="0.45">
      <c r="A129" t="s">
        <v>341</v>
      </c>
      <c r="B129" t="s">
        <v>326</v>
      </c>
      <c r="C129" t="s">
        <v>365</v>
      </c>
      <c r="D129" s="5">
        <f t="shared" si="1"/>
        <v>45977</v>
      </c>
      <c r="E129" t="s">
        <v>79</v>
      </c>
      <c r="F129">
        <v>0.5</v>
      </c>
      <c r="G129">
        <v>20</v>
      </c>
      <c r="H129" t="s">
        <v>378</v>
      </c>
      <c r="I129">
        <f>+_xlfn.XLOOKUP($H129,Turni!$A:$A,Turni!C:C)</f>
        <v>0</v>
      </c>
      <c r="J129">
        <f>+_xlfn.XLOOKUP($H129,Turni!$A:$A,Turni!D:D)</f>
        <v>0</v>
      </c>
      <c r="AR129" t="s">
        <v>380</v>
      </c>
      <c r="AS129" t="s">
        <v>381</v>
      </c>
    </row>
    <row r="130" spans="1:45" x14ac:dyDescent="0.45">
      <c r="A130" t="s">
        <v>346</v>
      </c>
      <c r="B130" t="s">
        <v>327</v>
      </c>
      <c r="C130" t="s">
        <v>366</v>
      </c>
      <c r="D130" s="5">
        <f t="shared" si="1"/>
        <v>45977</v>
      </c>
      <c r="E130" t="s">
        <v>79</v>
      </c>
      <c r="F130">
        <v>0.5</v>
      </c>
      <c r="G130">
        <v>20</v>
      </c>
      <c r="H130" t="s">
        <v>378</v>
      </c>
      <c r="I130">
        <f>+_xlfn.XLOOKUP($H130,Turni!$A:$A,Turni!C:C)</f>
        <v>0</v>
      </c>
      <c r="J130">
        <f>+_xlfn.XLOOKUP($H130,Turni!$A:$A,Turni!D:D)</f>
        <v>0</v>
      </c>
      <c r="AR130" t="s">
        <v>380</v>
      </c>
      <c r="AS130" t="s">
        <v>381</v>
      </c>
    </row>
    <row r="131" spans="1:45" x14ac:dyDescent="0.45">
      <c r="A131" t="s">
        <v>347</v>
      </c>
      <c r="B131" t="s">
        <v>328</v>
      </c>
      <c r="C131" t="s">
        <v>367</v>
      </c>
      <c r="D131" s="5">
        <f t="shared" si="1"/>
        <v>45977</v>
      </c>
      <c r="E131" t="s">
        <v>79</v>
      </c>
      <c r="F131">
        <v>0.5</v>
      </c>
      <c r="G131">
        <v>20</v>
      </c>
      <c r="H131" t="s">
        <v>378</v>
      </c>
      <c r="I131">
        <f>+_xlfn.XLOOKUP($H131,Turni!$A:$A,Turni!C:C)</f>
        <v>0</v>
      </c>
      <c r="J131">
        <f>+_xlfn.XLOOKUP($H131,Turni!$A:$A,Turni!D:D)</f>
        <v>0</v>
      </c>
      <c r="AR131" t="s">
        <v>380</v>
      </c>
      <c r="AS131" t="s">
        <v>381</v>
      </c>
    </row>
    <row r="132" spans="1:45" x14ac:dyDescent="0.45">
      <c r="A132" t="s">
        <v>348</v>
      </c>
      <c r="B132" t="s">
        <v>329</v>
      </c>
      <c r="C132" t="s">
        <v>368</v>
      </c>
      <c r="D132" s="5">
        <f t="shared" si="1"/>
        <v>45977</v>
      </c>
      <c r="E132" t="s">
        <v>79</v>
      </c>
      <c r="F132">
        <v>0.5</v>
      </c>
      <c r="G132">
        <v>20</v>
      </c>
      <c r="H132" t="s">
        <v>378</v>
      </c>
      <c r="I132">
        <f>+_xlfn.XLOOKUP($H132,Turni!$A:$A,Turni!C:C)</f>
        <v>0</v>
      </c>
      <c r="J132">
        <f>+_xlfn.XLOOKUP($H132,Turni!$A:$A,Turni!D:D)</f>
        <v>0</v>
      </c>
      <c r="AR132" t="s">
        <v>380</v>
      </c>
      <c r="AS132" t="s">
        <v>381</v>
      </c>
    </row>
    <row r="133" spans="1:45" x14ac:dyDescent="0.45">
      <c r="A133" t="s">
        <v>349</v>
      </c>
      <c r="B133" t="s">
        <v>330</v>
      </c>
      <c r="C133" t="s">
        <v>369</v>
      </c>
      <c r="D133" s="5">
        <f t="shared" si="1"/>
        <v>45977</v>
      </c>
      <c r="E133" t="s">
        <v>79</v>
      </c>
      <c r="F133">
        <v>0.5</v>
      </c>
      <c r="G133">
        <v>20</v>
      </c>
      <c r="H133" t="s">
        <v>378</v>
      </c>
      <c r="I133">
        <f>+_xlfn.XLOOKUP($H133,Turni!$A:$A,Turni!C:C)</f>
        <v>0</v>
      </c>
      <c r="J133">
        <f>+_xlfn.XLOOKUP($H133,Turni!$A:$A,Turni!D:D)</f>
        <v>0</v>
      </c>
      <c r="AR133" t="s">
        <v>380</v>
      </c>
      <c r="AS133" t="s">
        <v>381</v>
      </c>
    </row>
    <row r="134" spans="1:45" x14ac:dyDescent="0.45">
      <c r="A134" t="s">
        <v>350</v>
      </c>
      <c r="B134" t="s">
        <v>331</v>
      </c>
      <c r="C134" t="s">
        <v>370</v>
      </c>
      <c r="D134" s="5">
        <f t="shared" si="1"/>
        <v>45977</v>
      </c>
      <c r="E134" t="s">
        <v>79</v>
      </c>
      <c r="F134">
        <v>0.5</v>
      </c>
      <c r="G134">
        <v>20</v>
      </c>
      <c r="H134" t="s">
        <v>378</v>
      </c>
      <c r="I134">
        <f>+_xlfn.XLOOKUP($H134,Turni!$A:$A,Turni!C:C)</f>
        <v>0</v>
      </c>
      <c r="J134">
        <f>+_xlfn.XLOOKUP($H134,Turni!$A:$A,Turni!D:D)</f>
        <v>0</v>
      </c>
      <c r="AR134" t="s">
        <v>380</v>
      </c>
      <c r="AS134" t="s">
        <v>381</v>
      </c>
    </row>
    <row r="135" spans="1:45" x14ac:dyDescent="0.45">
      <c r="A135" t="s">
        <v>351</v>
      </c>
      <c r="B135" t="s">
        <v>332</v>
      </c>
      <c r="C135" t="s">
        <v>371</v>
      </c>
      <c r="D135" s="5">
        <f t="shared" si="1"/>
        <v>45977</v>
      </c>
      <c r="E135" t="s">
        <v>79</v>
      </c>
      <c r="F135">
        <v>0.5</v>
      </c>
      <c r="G135">
        <v>20</v>
      </c>
      <c r="H135" t="s">
        <v>378</v>
      </c>
      <c r="I135">
        <f>+_xlfn.XLOOKUP($H135,Turni!$A:$A,Turni!C:C)</f>
        <v>0</v>
      </c>
      <c r="J135">
        <f>+_xlfn.XLOOKUP($H135,Turni!$A:$A,Turni!D:D)</f>
        <v>0</v>
      </c>
      <c r="AR135" t="s">
        <v>380</v>
      </c>
      <c r="AS135" t="s">
        <v>381</v>
      </c>
    </row>
    <row r="136" spans="1:45" x14ac:dyDescent="0.45">
      <c r="A136" t="s">
        <v>352</v>
      </c>
      <c r="B136" t="s">
        <v>333</v>
      </c>
      <c r="C136" t="s">
        <v>372</v>
      </c>
      <c r="D136" s="5">
        <f t="shared" si="1"/>
        <v>45977</v>
      </c>
      <c r="E136" t="s">
        <v>79</v>
      </c>
      <c r="F136">
        <v>0.5</v>
      </c>
      <c r="G136">
        <v>20</v>
      </c>
      <c r="H136" t="s">
        <v>378</v>
      </c>
      <c r="I136">
        <f>+_xlfn.XLOOKUP($H136,Turni!$A:$A,Turni!C:C)</f>
        <v>0</v>
      </c>
      <c r="J136">
        <f>+_xlfn.XLOOKUP($H136,Turni!$A:$A,Turni!D:D)</f>
        <v>0</v>
      </c>
      <c r="AR136" t="s">
        <v>380</v>
      </c>
      <c r="AS136" t="s">
        <v>381</v>
      </c>
    </row>
    <row r="137" spans="1:45" x14ac:dyDescent="0.45">
      <c r="A137" t="s">
        <v>353</v>
      </c>
      <c r="B137" t="s">
        <v>334</v>
      </c>
      <c r="C137" t="s">
        <v>373</v>
      </c>
      <c r="D137" s="5">
        <f t="shared" si="1"/>
        <v>45977</v>
      </c>
      <c r="E137" t="s">
        <v>79</v>
      </c>
      <c r="F137">
        <v>0.5</v>
      </c>
      <c r="G137">
        <v>20</v>
      </c>
      <c r="H137" t="s">
        <v>378</v>
      </c>
      <c r="I137">
        <f>+_xlfn.XLOOKUP($H137,Turni!$A:$A,Turni!C:C)</f>
        <v>0</v>
      </c>
      <c r="J137">
        <f>+_xlfn.XLOOKUP($H137,Turni!$A:$A,Turni!D:D)</f>
        <v>0</v>
      </c>
      <c r="AR137" t="s">
        <v>380</v>
      </c>
      <c r="AS137" t="s">
        <v>381</v>
      </c>
    </row>
    <row r="138" spans="1:45" x14ac:dyDescent="0.45">
      <c r="A138" t="s">
        <v>354</v>
      </c>
      <c r="B138" t="s">
        <v>335</v>
      </c>
      <c r="C138" t="s">
        <v>374</v>
      </c>
      <c r="D138" s="5">
        <f t="shared" si="1"/>
        <v>45977</v>
      </c>
      <c r="E138" t="s">
        <v>79</v>
      </c>
      <c r="F138">
        <v>0.5</v>
      </c>
      <c r="G138">
        <v>20</v>
      </c>
      <c r="H138" t="s">
        <v>378</v>
      </c>
      <c r="I138">
        <f>+_xlfn.XLOOKUP($H138,Turni!$A:$A,Turni!C:C)</f>
        <v>0</v>
      </c>
      <c r="J138">
        <f>+_xlfn.XLOOKUP($H138,Turni!$A:$A,Turni!D:D)</f>
        <v>0</v>
      </c>
      <c r="AR138" t="s">
        <v>380</v>
      </c>
      <c r="AS138" t="s">
        <v>381</v>
      </c>
    </row>
    <row r="139" spans="1:45" x14ac:dyDescent="0.45">
      <c r="A139" t="s">
        <v>355</v>
      </c>
      <c r="B139" t="s">
        <v>336</v>
      </c>
      <c r="C139" t="s">
        <v>375</v>
      </c>
      <c r="D139" s="5">
        <f t="shared" si="1"/>
        <v>45977</v>
      </c>
      <c r="E139" t="s">
        <v>79</v>
      </c>
      <c r="F139">
        <v>0.5</v>
      </c>
      <c r="G139">
        <v>20</v>
      </c>
      <c r="H139" t="s">
        <v>378</v>
      </c>
      <c r="I139">
        <f>+_xlfn.XLOOKUP($H139,Turni!$A:$A,Turni!C:C)</f>
        <v>0</v>
      </c>
      <c r="J139">
        <f>+_xlfn.XLOOKUP($H139,Turni!$A:$A,Turni!D:D)</f>
        <v>0</v>
      </c>
      <c r="AR139" t="s">
        <v>380</v>
      </c>
      <c r="AS139" t="s">
        <v>381</v>
      </c>
    </row>
    <row r="140" spans="1:45" x14ac:dyDescent="0.45">
      <c r="A140" t="s">
        <v>356</v>
      </c>
      <c r="B140" t="s">
        <v>337</v>
      </c>
      <c r="C140" t="s">
        <v>376</v>
      </c>
      <c r="D140" s="5">
        <f t="shared" si="1"/>
        <v>45977</v>
      </c>
      <c r="E140" t="s">
        <v>79</v>
      </c>
      <c r="F140">
        <v>0.5</v>
      </c>
      <c r="G140">
        <v>20</v>
      </c>
      <c r="H140" t="s">
        <v>378</v>
      </c>
      <c r="I140">
        <f>+_xlfn.XLOOKUP($H140,Turni!$A:$A,Turni!C:C)</f>
        <v>0</v>
      </c>
      <c r="J140">
        <f>+_xlfn.XLOOKUP($H140,Turni!$A:$A,Turni!D:D)</f>
        <v>0</v>
      </c>
      <c r="AR140" t="s">
        <v>380</v>
      </c>
      <c r="AS140" t="s">
        <v>381</v>
      </c>
    </row>
    <row r="141" spans="1:45" x14ac:dyDescent="0.45">
      <c r="A141" t="s">
        <v>357</v>
      </c>
      <c r="B141" t="s">
        <v>338</v>
      </c>
      <c r="C141" t="s">
        <v>377</v>
      </c>
      <c r="D141" s="5">
        <f t="shared" si="1"/>
        <v>45977</v>
      </c>
      <c r="E141" t="s">
        <v>79</v>
      </c>
      <c r="F141">
        <v>0.5</v>
      </c>
      <c r="G141">
        <v>20</v>
      </c>
      <c r="H141" t="s">
        <v>378</v>
      </c>
      <c r="I141">
        <f>+_xlfn.XLOOKUP($H141,Turni!$A:$A,Turni!C:C)</f>
        <v>0</v>
      </c>
      <c r="J141">
        <f>+_xlfn.XLOOKUP($H141,Turni!$A:$A,Turni!D:D)</f>
        <v>0</v>
      </c>
      <c r="AR141" t="s">
        <v>380</v>
      </c>
      <c r="AS141" t="s">
        <v>381</v>
      </c>
    </row>
  </sheetData>
  <autoFilter ref="A1:AS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149"/>
  <sheetViews>
    <sheetView workbookViewId="0"/>
  </sheetViews>
  <sheetFormatPr defaultRowHeight="14.25" x14ac:dyDescent="0.45"/>
  <cols>
    <col min="1" max="1" width="85" customWidth="1"/>
  </cols>
  <sheetData>
    <row r="2" spans="1:1" ht="15.75" x14ac:dyDescent="0.5">
      <c r="A2" s="4"/>
    </row>
    <row r="4" spans="1:1" x14ac:dyDescent="0.45">
      <c r="A4" t="s">
        <v>82</v>
      </c>
    </row>
    <row r="6" spans="1:1" x14ac:dyDescent="0.45">
      <c r="A6" t="s">
        <v>83</v>
      </c>
    </row>
    <row r="7" spans="1:1" x14ac:dyDescent="0.45">
      <c r="A7" t="s">
        <v>84</v>
      </c>
    </row>
    <row r="8" spans="1:1" x14ac:dyDescent="0.45">
      <c r="A8" t="s">
        <v>85</v>
      </c>
    </row>
    <row r="10" spans="1:1" x14ac:dyDescent="0.45">
      <c r="A10" t="s">
        <v>86</v>
      </c>
    </row>
    <row r="11" spans="1:1" x14ac:dyDescent="0.45">
      <c r="A11" t="s">
        <v>87</v>
      </c>
    </row>
    <row r="12" spans="1:1" x14ac:dyDescent="0.45">
      <c r="A12" t="s">
        <v>88</v>
      </c>
    </row>
    <row r="14" spans="1:1" x14ac:dyDescent="0.45">
      <c r="A14" t="s">
        <v>89</v>
      </c>
    </row>
    <row r="15" spans="1:1" x14ac:dyDescent="0.45">
      <c r="A15" t="s">
        <v>90</v>
      </c>
    </row>
    <row r="16" spans="1:1" ht="15.75" x14ac:dyDescent="0.5">
      <c r="A16" s="4" t="s">
        <v>91</v>
      </c>
    </row>
    <row r="20" spans="1:1" x14ac:dyDescent="0.45">
      <c r="A20" t="s">
        <v>92</v>
      </c>
    </row>
    <row r="22" spans="1:1" x14ac:dyDescent="0.45">
      <c r="A22" t="s">
        <v>93</v>
      </c>
    </row>
    <row r="23" spans="1:1" x14ac:dyDescent="0.45">
      <c r="A23" t="s">
        <v>94</v>
      </c>
    </row>
    <row r="25" spans="1:1" x14ac:dyDescent="0.45">
      <c r="A25" t="s">
        <v>95</v>
      </c>
    </row>
    <row r="26" spans="1:1" x14ac:dyDescent="0.45">
      <c r="A26" t="s">
        <v>96</v>
      </c>
    </row>
    <row r="28" spans="1:1" ht="15.75" x14ac:dyDescent="0.5">
      <c r="A28" s="4" t="s">
        <v>97</v>
      </c>
    </row>
    <row r="29" spans="1:1" x14ac:dyDescent="0.45">
      <c r="A29" t="s">
        <v>98</v>
      </c>
    </row>
    <row r="33" spans="1:1" x14ac:dyDescent="0.45">
      <c r="A33" t="s">
        <v>99</v>
      </c>
    </row>
    <row r="34" spans="1:1" x14ac:dyDescent="0.45">
      <c r="A34" t="s">
        <v>100</v>
      </c>
    </row>
    <row r="35" spans="1:1" x14ac:dyDescent="0.45">
      <c r="A35" t="s">
        <v>101</v>
      </c>
    </row>
    <row r="36" spans="1:1" x14ac:dyDescent="0.45">
      <c r="A36" t="s">
        <v>102</v>
      </c>
    </row>
    <row r="38" spans="1:1" x14ac:dyDescent="0.45">
      <c r="A38" t="s">
        <v>103</v>
      </c>
    </row>
    <row r="39" spans="1:1" x14ac:dyDescent="0.45">
      <c r="A39" t="s">
        <v>104</v>
      </c>
    </row>
    <row r="40" spans="1:1" x14ac:dyDescent="0.45">
      <c r="A40" t="s">
        <v>105</v>
      </c>
    </row>
    <row r="41" spans="1:1" x14ac:dyDescent="0.45">
      <c r="A41" t="s">
        <v>106</v>
      </c>
    </row>
    <row r="43" spans="1:1" x14ac:dyDescent="0.45">
      <c r="A43" t="s">
        <v>107</v>
      </c>
    </row>
    <row r="44" spans="1:1" x14ac:dyDescent="0.45">
      <c r="A44" t="s">
        <v>108</v>
      </c>
    </row>
    <row r="45" spans="1:1" x14ac:dyDescent="0.45">
      <c r="A45" t="s">
        <v>109</v>
      </c>
    </row>
    <row r="46" spans="1:1" x14ac:dyDescent="0.45">
      <c r="A46" t="s">
        <v>110</v>
      </c>
    </row>
    <row r="47" spans="1:1" x14ac:dyDescent="0.45">
      <c r="A47" t="s">
        <v>111</v>
      </c>
    </row>
    <row r="48" spans="1:1" x14ac:dyDescent="0.45">
      <c r="A48" t="s">
        <v>112</v>
      </c>
    </row>
    <row r="50" spans="1:1" x14ac:dyDescent="0.45">
      <c r="A50" t="s">
        <v>103</v>
      </c>
    </row>
    <row r="51" spans="1:1" x14ac:dyDescent="0.45">
      <c r="A51" t="s">
        <v>113</v>
      </c>
    </row>
    <row r="52" spans="1:1" x14ac:dyDescent="0.45">
      <c r="A52" t="s">
        <v>114</v>
      </c>
    </row>
    <row r="53" spans="1:1" x14ac:dyDescent="0.45">
      <c r="A53" t="s">
        <v>115</v>
      </c>
    </row>
    <row r="55" spans="1:1" x14ac:dyDescent="0.45">
      <c r="A55" t="s">
        <v>116</v>
      </c>
    </row>
    <row r="56" spans="1:1" x14ac:dyDescent="0.45">
      <c r="A56" t="s">
        <v>117</v>
      </c>
    </row>
    <row r="57" spans="1:1" x14ac:dyDescent="0.45">
      <c r="A57" t="s">
        <v>118</v>
      </c>
    </row>
    <row r="58" spans="1:1" ht="15.75" x14ac:dyDescent="0.5">
      <c r="A58" s="4"/>
    </row>
    <row r="59" spans="1:1" x14ac:dyDescent="0.45">
      <c r="A59" t="s">
        <v>119</v>
      </c>
    </row>
    <row r="60" spans="1:1" x14ac:dyDescent="0.45">
      <c r="A60" t="s">
        <v>120</v>
      </c>
    </row>
    <row r="61" spans="1:1" x14ac:dyDescent="0.45">
      <c r="A61" t="s">
        <v>121</v>
      </c>
    </row>
    <row r="62" spans="1:1" x14ac:dyDescent="0.45">
      <c r="A62" t="s">
        <v>122</v>
      </c>
    </row>
    <row r="63" spans="1:1" x14ac:dyDescent="0.45">
      <c r="A63" t="s">
        <v>123</v>
      </c>
    </row>
    <row r="64" spans="1:1" x14ac:dyDescent="0.45">
      <c r="A64" t="s">
        <v>124</v>
      </c>
    </row>
    <row r="65" spans="1:1" x14ac:dyDescent="0.45">
      <c r="A65" t="s">
        <v>125</v>
      </c>
    </row>
    <row r="66" spans="1:1" x14ac:dyDescent="0.45">
      <c r="A66" t="s">
        <v>126</v>
      </c>
    </row>
    <row r="67" spans="1:1" x14ac:dyDescent="0.45">
      <c r="A67" t="s">
        <v>127</v>
      </c>
    </row>
    <row r="71" spans="1:1" x14ac:dyDescent="0.45">
      <c r="A71" t="s">
        <v>128</v>
      </c>
    </row>
    <row r="72" spans="1:1" x14ac:dyDescent="0.45">
      <c r="A72" t="s">
        <v>129</v>
      </c>
    </row>
    <row r="73" spans="1:1" x14ac:dyDescent="0.45">
      <c r="A73" t="s">
        <v>130</v>
      </c>
    </row>
    <row r="74" spans="1:1" ht="15.75" x14ac:dyDescent="0.5">
      <c r="A74" s="4" t="s">
        <v>131</v>
      </c>
    </row>
    <row r="76" spans="1:1" x14ac:dyDescent="0.45">
      <c r="A76" t="s">
        <v>132</v>
      </c>
    </row>
    <row r="78" spans="1:1" x14ac:dyDescent="0.45">
      <c r="A78" t="s">
        <v>133</v>
      </c>
    </row>
    <row r="80" spans="1:1" x14ac:dyDescent="0.45">
      <c r="A80" t="s">
        <v>134</v>
      </c>
    </row>
    <row r="81" spans="1:1" x14ac:dyDescent="0.45">
      <c r="A81" t="s">
        <v>135</v>
      </c>
    </row>
    <row r="83" spans="1:1" x14ac:dyDescent="0.45">
      <c r="A83" t="s">
        <v>136</v>
      </c>
    </row>
    <row r="84" spans="1:1" x14ac:dyDescent="0.45">
      <c r="A84" t="s">
        <v>137</v>
      </c>
    </row>
    <row r="85" spans="1:1" x14ac:dyDescent="0.45">
      <c r="A85" t="s">
        <v>138</v>
      </c>
    </row>
    <row r="86" spans="1:1" x14ac:dyDescent="0.45">
      <c r="A86" t="s">
        <v>139</v>
      </c>
    </row>
    <row r="87" spans="1:1" x14ac:dyDescent="0.45">
      <c r="A87" t="s">
        <v>140</v>
      </c>
    </row>
    <row r="88" spans="1:1" x14ac:dyDescent="0.45">
      <c r="A88" t="s">
        <v>141</v>
      </c>
    </row>
    <row r="91" spans="1:1" ht="15.75" x14ac:dyDescent="0.5">
      <c r="A91" s="4"/>
    </row>
    <row r="92" spans="1:1" x14ac:dyDescent="0.45">
      <c r="A92" t="s">
        <v>142</v>
      </c>
    </row>
    <row r="93" spans="1:1" x14ac:dyDescent="0.45">
      <c r="A93" t="s">
        <v>143</v>
      </c>
    </row>
    <row r="94" spans="1:1" x14ac:dyDescent="0.45">
      <c r="A94" t="s">
        <v>144</v>
      </c>
    </row>
    <row r="95" spans="1:1" x14ac:dyDescent="0.45">
      <c r="A95" t="s">
        <v>145</v>
      </c>
    </row>
    <row r="96" spans="1:1" x14ac:dyDescent="0.45">
      <c r="A96" t="s">
        <v>146</v>
      </c>
    </row>
    <row r="100" spans="1:1" x14ac:dyDescent="0.45">
      <c r="A100" t="s">
        <v>147</v>
      </c>
    </row>
    <row r="102" spans="1:1" x14ac:dyDescent="0.45">
      <c r="A102" t="s">
        <v>148</v>
      </c>
    </row>
    <row r="103" spans="1:1" x14ac:dyDescent="0.45">
      <c r="A103" t="s">
        <v>149</v>
      </c>
    </row>
    <row r="104" spans="1:1" x14ac:dyDescent="0.45">
      <c r="A104" t="s">
        <v>150</v>
      </c>
    </row>
    <row r="105" spans="1:1" x14ac:dyDescent="0.45">
      <c r="A105" t="s">
        <v>151</v>
      </c>
    </row>
    <row r="107" spans="1:1" x14ac:dyDescent="0.45">
      <c r="A107" t="s">
        <v>152</v>
      </c>
    </row>
    <row r="108" spans="1:1" ht="15.75" x14ac:dyDescent="0.5">
      <c r="A108" s="4"/>
    </row>
    <row r="111" spans="1:1" x14ac:dyDescent="0.45">
      <c r="A111" t="s">
        <v>153</v>
      </c>
    </row>
    <row r="112" spans="1:1" x14ac:dyDescent="0.45">
      <c r="A112" t="s">
        <v>154</v>
      </c>
    </row>
    <row r="113" spans="1:1" x14ac:dyDescent="0.45">
      <c r="A113" t="s">
        <v>155</v>
      </c>
    </row>
    <row r="115" spans="1:1" x14ac:dyDescent="0.45">
      <c r="A115" t="s">
        <v>156</v>
      </c>
    </row>
    <row r="118" spans="1:1" ht="15.75" x14ac:dyDescent="0.5">
      <c r="A118" s="4"/>
    </row>
    <row r="119" spans="1:1" x14ac:dyDescent="0.45">
      <c r="A119" t="s">
        <v>157</v>
      </c>
    </row>
    <row r="120" spans="1:1" x14ac:dyDescent="0.45">
      <c r="A120" t="s">
        <v>158</v>
      </c>
    </row>
    <row r="122" spans="1:1" x14ac:dyDescent="0.45">
      <c r="A122" t="s">
        <v>159</v>
      </c>
    </row>
    <row r="123" spans="1:1" x14ac:dyDescent="0.45">
      <c r="A123" t="s">
        <v>160</v>
      </c>
    </row>
    <row r="125" spans="1:1" x14ac:dyDescent="0.45">
      <c r="A125" t="s">
        <v>161</v>
      </c>
    </row>
    <row r="126" spans="1:1" x14ac:dyDescent="0.45">
      <c r="A126" t="s">
        <v>162</v>
      </c>
    </row>
    <row r="128" spans="1:1" x14ac:dyDescent="0.45">
      <c r="A128" t="s">
        <v>163</v>
      </c>
    </row>
    <row r="129" spans="1:1" x14ac:dyDescent="0.45">
      <c r="A129" t="s">
        <v>164</v>
      </c>
    </row>
    <row r="130" spans="1:1" ht="15.75" x14ac:dyDescent="0.5">
      <c r="A130" s="4"/>
    </row>
    <row r="133" spans="1:1" x14ac:dyDescent="0.45">
      <c r="A133" t="s">
        <v>165</v>
      </c>
    </row>
    <row r="134" spans="1:1" x14ac:dyDescent="0.45">
      <c r="A134" t="s">
        <v>166</v>
      </c>
    </row>
    <row r="136" spans="1:1" x14ac:dyDescent="0.45">
      <c r="A136" t="s">
        <v>167</v>
      </c>
    </row>
    <row r="137" spans="1:1" x14ac:dyDescent="0.45">
      <c r="A137" t="s">
        <v>168</v>
      </c>
    </row>
    <row r="139" spans="1:1" x14ac:dyDescent="0.45">
      <c r="A139" t="s">
        <v>169</v>
      </c>
    </row>
    <row r="140" spans="1:1" x14ac:dyDescent="0.45">
      <c r="A140" t="s">
        <v>170</v>
      </c>
    </row>
    <row r="141" spans="1:1" x14ac:dyDescent="0.45">
      <c r="A141" t="s">
        <v>171</v>
      </c>
    </row>
    <row r="142" spans="1:1" x14ac:dyDescent="0.45">
      <c r="A142" t="s">
        <v>172</v>
      </c>
    </row>
    <row r="144" spans="1:1" x14ac:dyDescent="0.45">
      <c r="A144" t="s">
        <v>173</v>
      </c>
    </row>
    <row r="145" spans="1:1" x14ac:dyDescent="0.45">
      <c r="A145" t="s">
        <v>174</v>
      </c>
    </row>
    <row r="146" spans="1:1" x14ac:dyDescent="0.45">
      <c r="A146" t="s">
        <v>175</v>
      </c>
    </row>
    <row r="147" spans="1:1" x14ac:dyDescent="0.45">
      <c r="A147" t="s">
        <v>176</v>
      </c>
    </row>
    <row r="149" spans="1:1" x14ac:dyDescent="0.45">
      <c r="A149" t="s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Skills</vt:lpstr>
      <vt:lpstr>Turni</vt:lpstr>
      <vt:lpstr>Operatori</vt:lpstr>
      <vt:lpstr>Istruzioni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Wiliam De salvatore</cp:lastModifiedBy>
  <dcterms:created xsi:type="dcterms:W3CDTF">2025-11-08T13:36:09Z</dcterms:created>
  <dcterms:modified xsi:type="dcterms:W3CDTF">2025-11-08T15:13:10Z</dcterms:modified>
</cp:coreProperties>
</file>